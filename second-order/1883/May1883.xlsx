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531" documentId="13_ncr:1_{29FD94D3-C51C-4613-BBB7-165CC703A7B4}" xr6:coauthVersionLast="47" xr6:coauthVersionMax="47" xr10:uidLastSave="{1E8015D5-6BAF-4180-B2E6-11C3B02B81C7}"/>
  <bookViews>
    <workbookView xWindow="-110" yWindow="-110" windowWidth="19420" windowHeight="10420" tabRatio="929" firstSheet="28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E37" i="40"/>
  <c r="F37" i="39"/>
  <c r="E37" i="39"/>
  <c r="F37" i="36"/>
  <c r="E37" i="36"/>
  <c r="F37" i="50"/>
  <c r="F37" i="35"/>
  <c r="F37" i="34"/>
  <c r="E37" i="34"/>
  <c r="U37" i="33"/>
  <c r="U37" i="46"/>
  <c r="R37" i="46"/>
  <c r="F37" i="32"/>
  <c r="F37" i="31"/>
  <c r="U37" i="45"/>
  <c r="E37" i="45"/>
  <c r="F37" i="41"/>
  <c r="E37" i="41"/>
  <c r="F37" i="43"/>
  <c r="F37" i="42"/>
  <c r="E37" i="42"/>
  <c r="E37" i="44"/>
  <c r="E37" i="29"/>
  <c r="F37" i="28"/>
  <c r="E37" i="28"/>
  <c r="F37" i="27"/>
  <c r="F37" i="26"/>
  <c r="U37" i="17"/>
  <c r="F37" i="1"/>
  <c r="E37" i="16"/>
</calcChain>
</file>

<file path=xl/sharedStrings.xml><?xml version="1.0" encoding="utf-8"?>
<sst xmlns="http://schemas.openxmlformats.org/spreadsheetml/2006/main" count="5803" uniqueCount="84">
  <si>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</si>
  <si>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</si>
  <si>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</si>
  <si>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</si>
  <si>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</si>
  <si>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</si>
  <si>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</si>
  <si>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</si>
  <si>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</si>
  <si>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</si>
  <si>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</si>
  <si>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</si>
  <si>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</si>
  <si>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</si>
  <si>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</si>
  <si>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</si>
  <si>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</si>
  <si>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</si>
  <si>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</si>
  <si>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</si>
  <si>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May</t>
  </si>
  <si>
    <t>SE</t>
  </si>
  <si>
    <t>ND</t>
  </si>
  <si>
    <t>E</t>
  </si>
  <si>
    <t>NE</t>
  </si>
  <si>
    <t>SW</t>
  </si>
  <si>
    <t>W</t>
  </si>
  <si>
    <t>NW</t>
  </si>
  <si>
    <t>N</t>
  </si>
  <si>
    <t>S</t>
  </si>
  <si>
    <t>Means</t>
  </si>
  <si>
    <t>Braemar</t>
  </si>
  <si>
    <t>Laudale</t>
  </si>
  <si>
    <t>Calm</t>
  </si>
  <si>
    <t>NNW</t>
  </si>
  <si>
    <t>NNE</t>
  </si>
  <si>
    <t>WNW</t>
  </si>
  <si>
    <t>ESE</t>
  </si>
  <si>
    <t>SSE</t>
  </si>
  <si>
    <t>SSW</t>
  </si>
  <si>
    <t>Dundee</t>
  </si>
  <si>
    <t>Rothesay</t>
  </si>
  <si>
    <t>ENE</t>
  </si>
  <si>
    <t>WSW</t>
  </si>
  <si>
    <t>Pinmore</t>
  </si>
  <si>
    <t>Scaleby</t>
  </si>
  <si>
    <t>Scarborough</t>
  </si>
  <si>
    <t>Douglas</t>
  </si>
  <si>
    <t>3-4</t>
  </si>
  <si>
    <t>Wakefield</t>
  </si>
  <si>
    <t>Llandudno</t>
  </si>
  <si>
    <t>Buxton</t>
  </si>
  <si>
    <t>Hillington</t>
  </si>
  <si>
    <t>Uppingham</t>
  </si>
  <si>
    <t>NEbyN</t>
  </si>
  <si>
    <t>NbyE</t>
  </si>
  <si>
    <t>NEbyE</t>
  </si>
  <si>
    <t>WbyS</t>
  </si>
  <si>
    <t>WbyN</t>
  </si>
  <si>
    <t>SbyW</t>
  </si>
  <si>
    <t>SWbyS</t>
  </si>
  <si>
    <t>EbyS</t>
  </si>
  <si>
    <t>NWbyW</t>
  </si>
  <si>
    <t>NbyW</t>
  </si>
  <si>
    <t>EbyN</t>
  </si>
  <si>
    <t>NWbyN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</si>
  <si>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</si>
  <si>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</si>
  <si>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</si>
  <si>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</si>
  <si>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</si>
  <si>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</si>
  <si>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</si>
  <si>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</si>
  <si>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</si>
  <si>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</si>
  <si>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</si>
  <si>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Londonderry</t>
  </si>
  <si>
    <t>Markree Castle</t>
  </si>
  <si>
    <t>No observations taken 17th-19th, owing to change of observer.</t>
  </si>
  <si>
    <t>Dublin</t>
  </si>
  <si>
    <t>Parsonstown</t>
  </si>
  <si>
    <t>Killarney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</si>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</sst>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abSelected="1" topLeftCell="D19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30.12</v>
      </c>
      <c r="F5" s="6">
        <v>30.16</v>
      </c>
      <c r="G5" s="1">
        <v>52.5</v>
      </c>
      <c r="H5" s="1">
        <v>44.4</v>
      </c>
      <c r="I5" s="1">
        <v>42.2</v>
      </c>
      <c r="J5" s="6">
        <v>53.3</v>
      </c>
      <c r="K5" s="5">
        <v>0.24199999999999999</v>
      </c>
      <c r="L5" s="6">
        <v>0.23</v>
      </c>
      <c r="M5" s="1">
        <v>62</v>
      </c>
      <c r="N5" s="6">
        <v>79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30.11</v>
      </c>
      <c r="F6" s="6">
        <v>29.97</v>
      </c>
      <c r="G6" s="1">
        <v>47.5</v>
      </c>
      <c r="H6" s="1">
        <v>41.4</v>
      </c>
      <c r="I6" s="1">
        <v>35.6</v>
      </c>
      <c r="J6" s="6">
        <v>50.5</v>
      </c>
      <c r="K6" s="5">
        <v>0.23899999999999999</v>
      </c>
      <c r="L6" s="6">
        <v>0.219</v>
      </c>
      <c r="M6" s="1">
        <v>73</v>
      </c>
      <c r="N6" s="6">
        <v>85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29.96</v>
      </c>
      <c r="F7" s="6">
        <v>30.03</v>
      </c>
      <c r="G7" s="1">
        <v>46.9</v>
      </c>
      <c r="H7" s="1">
        <v>44.9</v>
      </c>
      <c r="I7" s="1">
        <v>39.1</v>
      </c>
      <c r="J7" s="6">
        <v>49.5</v>
      </c>
      <c r="K7" s="5">
        <v>0.26500000000000001</v>
      </c>
      <c r="L7" s="6">
        <v>0.20699999999999999</v>
      </c>
      <c r="M7" s="1">
        <v>84</v>
      </c>
      <c r="N7" s="6">
        <v>70</v>
      </c>
      <c r="O7" s="1" t="s">
        <v>25</v>
      </c>
      <c r="P7" s="1" t="s">
        <v>22</v>
      </c>
      <c r="Q7" s="1" t="s">
        <v>26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30.07</v>
      </c>
      <c r="F8" s="6">
        <v>30.06</v>
      </c>
      <c r="G8" s="1">
        <v>49</v>
      </c>
      <c r="H8" s="1">
        <v>48</v>
      </c>
      <c r="I8" s="1">
        <v>40.700000000000003</v>
      </c>
      <c r="J8" s="6">
        <v>54.3</v>
      </c>
      <c r="K8" s="5">
        <v>0.28699999999999998</v>
      </c>
      <c r="L8" s="6">
        <v>0.27400000000000002</v>
      </c>
      <c r="M8" s="1">
        <v>83</v>
      </c>
      <c r="N8" s="6">
        <v>83</v>
      </c>
      <c r="O8" s="1" t="s">
        <v>26</v>
      </c>
      <c r="P8" s="1" t="s">
        <v>22</v>
      </c>
      <c r="Q8" s="1" t="s">
        <v>25</v>
      </c>
      <c r="R8" s="6" t="s">
        <v>22</v>
      </c>
      <c r="S8" s="1" t="s">
        <v>22</v>
      </c>
      <c r="T8" s="1" t="s">
        <v>22</v>
      </c>
      <c r="U8" s="12">
        <v>0.12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30.04</v>
      </c>
      <c r="F9" s="6">
        <v>30.12</v>
      </c>
      <c r="G9" s="1">
        <v>47.5</v>
      </c>
      <c r="H9" s="1">
        <v>45.4</v>
      </c>
      <c r="I9" s="1">
        <v>40.5</v>
      </c>
      <c r="J9" s="6">
        <v>51.5</v>
      </c>
      <c r="K9" s="5">
        <v>0.25900000000000001</v>
      </c>
      <c r="L9" s="6">
        <v>0.221</v>
      </c>
      <c r="M9" s="1">
        <v>80</v>
      </c>
      <c r="N9" s="6">
        <v>73</v>
      </c>
      <c r="O9" s="1" t="s">
        <v>27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12">
        <v>0.03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30.11</v>
      </c>
      <c r="F10" s="6">
        <v>30.01</v>
      </c>
      <c r="G10" s="1">
        <v>42.4</v>
      </c>
      <c r="H10" s="1">
        <v>42.4</v>
      </c>
      <c r="I10" s="1">
        <v>39.6</v>
      </c>
      <c r="J10" s="6">
        <v>49.5</v>
      </c>
      <c r="K10" s="5">
        <v>0.23100000000000001</v>
      </c>
      <c r="L10" s="6">
        <v>0.23100000000000001</v>
      </c>
      <c r="M10" s="1">
        <v>86</v>
      </c>
      <c r="N10" s="6">
        <v>86</v>
      </c>
      <c r="O10" s="1" t="s">
        <v>28</v>
      </c>
      <c r="P10" s="1" t="s">
        <v>22</v>
      </c>
      <c r="Q10" s="1" t="s">
        <v>23</v>
      </c>
      <c r="R10" s="6" t="s">
        <v>22</v>
      </c>
      <c r="S10" s="1" t="s">
        <v>22</v>
      </c>
      <c r="T10" s="1" t="s">
        <v>22</v>
      </c>
      <c r="U10" s="12">
        <v>0.03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29.91</v>
      </c>
      <c r="F11" s="6">
        <v>29.91</v>
      </c>
      <c r="G11" s="1">
        <v>46.4</v>
      </c>
      <c r="H11" s="1">
        <v>39.4</v>
      </c>
      <c r="I11" s="1">
        <v>37.6</v>
      </c>
      <c r="J11" s="6">
        <v>52</v>
      </c>
      <c r="K11" s="5">
        <v>0.28199999999999997</v>
      </c>
      <c r="L11" s="6">
        <v>0.222</v>
      </c>
      <c r="M11" s="1">
        <v>90</v>
      </c>
      <c r="N11" s="6">
        <v>92</v>
      </c>
      <c r="O11" s="1" t="s">
        <v>24</v>
      </c>
      <c r="P11" s="1" t="s">
        <v>22</v>
      </c>
      <c r="Q11" s="1" t="s">
        <v>24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29.9</v>
      </c>
      <c r="F12" s="6">
        <v>29.86</v>
      </c>
      <c r="G12" s="1">
        <v>40.200000000000003</v>
      </c>
      <c r="H12" s="1">
        <v>40.4</v>
      </c>
      <c r="I12" s="1">
        <v>30.5</v>
      </c>
      <c r="J12" s="6">
        <v>47.5</v>
      </c>
      <c r="K12" s="5">
        <v>0.19400000000000001</v>
      </c>
      <c r="L12" s="6">
        <v>0.251</v>
      </c>
      <c r="M12" s="1">
        <v>78</v>
      </c>
      <c r="N12" s="6">
        <v>100</v>
      </c>
      <c r="O12" s="1" t="s">
        <v>28</v>
      </c>
      <c r="P12" s="1" t="s">
        <v>22</v>
      </c>
      <c r="Q12" s="1" t="s">
        <v>28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29.83</v>
      </c>
      <c r="F13" s="6">
        <v>29.88</v>
      </c>
      <c r="G13" s="1">
        <v>45.4</v>
      </c>
      <c r="H13" s="1">
        <v>43.4</v>
      </c>
      <c r="I13" s="1">
        <v>38.6</v>
      </c>
      <c r="J13" s="6">
        <v>52.3</v>
      </c>
      <c r="K13" s="5">
        <v>0.26</v>
      </c>
      <c r="L13" s="6">
        <v>0.221</v>
      </c>
      <c r="M13" s="1">
        <v>87</v>
      </c>
      <c r="N13" s="6">
        <v>78</v>
      </c>
      <c r="O13" s="1" t="s">
        <v>23</v>
      </c>
      <c r="P13" s="1" t="s">
        <v>22</v>
      </c>
      <c r="Q13" s="1" t="s">
        <v>23</v>
      </c>
      <c r="R13" s="6" t="s">
        <v>22</v>
      </c>
      <c r="S13" s="1" t="s">
        <v>22</v>
      </c>
      <c r="T13" s="1" t="s">
        <v>22</v>
      </c>
      <c r="U13" s="12">
        <v>0.06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29.7</v>
      </c>
      <c r="F14" s="6">
        <v>29.43</v>
      </c>
      <c r="G14" s="1">
        <v>44.4</v>
      </c>
      <c r="H14" s="1">
        <v>42.4</v>
      </c>
      <c r="I14" s="1">
        <v>39.6</v>
      </c>
      <c r="J14" s="6">
        <v>55.5</v>
      </c>
      <c r="K14" s="5">
        <v>0.25</v>
      </c>
      <c r="L14" s="6">
        <v>0.252</v>
      </c>
      <c r="M14" s="1">
        <v>86</v>
      </c>
      <c r="N14" s="6">
        <v>93</v>
      </c>
      <c r="O14" s="1" t="s">
        <v>23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>
        <v>0.7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29.28</v>
      </c>
      <c r="F15" s="6">
        <v>29.56</v>
      </c>
      <c r="G15" s="1">
        <v>46.9</v>
      </c>
      <c r="H15" s="1">
        <v>45.4</v>
      </c>
      <c r="I15" s="1">
        <v>40.700000000000003</v>
      </c>
      <c r="J15" s="6">
        <v>57.9</v>
      </c>
      <c r="K15" s="5">
        <v>0.26500000000000001</v>
      </c>
      <c r="L15" s="6">
        <v>0.26</v>
      </c>
      <c r="M15" s="1">
        <v>84</v>
      </c>
      <c r="N15" s="6">
        <v>87</v>
      </c>
      <c r="O15" s="1" t="s">
        <v>21</v>
      </c>
      <c r="P15" s="1" t="s">
        <v>22</v>
      </c>
      <c r="Q15" s="1" t="s">
        <v>21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29.47</v>
      </c>
      <c r="F16" s="6">
        <v>29.48</v>
      </c>
      <c r="G16" s="1">
        <v>45.4</v>
      </c>
      <c r="H16" s="1">
        <v>44.4</v>
      </c>
      <c r="I16" s="1">
        <v>40.700000000000003</v>
      </c>
      <c r="J16" s="6">
        <v>56.4</v>
      </c>
      <c r="K16" s="5">
        <v>0.26</v>
      </c>
      <c r="L16" s="6">
        <v>0.25</v>
      </c>
      <c r="M16" s="1">
        <v>87</v>
      </c>
      <c r="N16" s="6">
        <v>86</v>
      </c>
      <c r="O16" s="1" t="s">
        <v>29</v>
      </c>
      <c r="P16" s="1" t="s">
        <v>22</v>
      </c>
      <c r="Q16" s="1" t="s">
        <v>29</v>
      </c>
      <c r="R16" s="6" t="s">
        <v>22</v>
      </c>
      <c r="S16" s="1" t="s">
        <v>22</v>
      </c>
      <c r="T16" s="1" t="s">
        <v>22</v>
      </c>
      <c r="U16" s="12">
        <v>0.04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29.53</v>
      </c>
      <c r="F17" s="6">
        <v>29.56</v>
      </c>
      <c r="G17" s="1">
        <v>49</v>
      </c>
      <c r="H17" s="1">
        <v>46.4</v>
      </c>
      <c r="I17" s="1">
        <v>43.2</v>
      </c>
      <c r="J17" s="6">
        <v>62.4</v>
      </c>
      <c r="K17" s="5">
        <v>0.28699999999999998</v>
      </c>
      <c r="L17" s="6">
        <v>0.29399999999999998</v>
      </c>
      <c r="M17" s="1">
        <v>83</v>
      </c>
      <c r="N17" s="6">
        <v>94</v>
      </c>
      <c r="O17" s="1" t="s">
        <v>29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29.71</v>
      </c>
      <c r="F18" s="6">
        <v>29.86</v>
      </c>
      <c r="G18" s="1">
        <v>52.5</v>
      </c>
      <c r="H18" s="1">
        <v>53.5</v>
      </c>
      <c r="I18" s="1">
        <v>45.7</v>
      </c>
      <c r="J18" s="6">
        <v>60.4</v>
      </c>
      <c r="K18" s="5">
        <v>0.29399999999999998</v>
      </c>
      <c r="L18" s="6">
        <v>0.27200000000000002</v>
      </c>
      <c r="M18" s="1">
        <v>75</v>
      </c>
      <c r="N18" s="6">
        <v>67</v>
      </c>
      <c r="O18" s="1" t="s">
        <v>29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12">
        <v>0.02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30.05</v>
      </c>
      <c r="F19" s="6">
        <v>30.31</v>
      </c>
      <c r="G19" s="1">
        <v>53.5</v>
      </c>
      <c r="H19" s="1">
        <v>47.2</v>
      </c>
      <c r="I19" s="1">
        <v>40.700000000000003</v>
      </c>
      <c r="J19" s="6">
        <v>60.4</v>
      </c>
      <c r="K19" s="5">
        <v>0.30499999999999999</v>
      </c>
      <c r="L19" s="6">
        <v>0.308</v>
      </c>
      <c r="M19" s="1">
        <v>75</v>
      </c>
      <c r="N19" s="6">
        <v>96</v>
      </c>
      <c r="O19" s="1" t="s">
        <v>29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12">
        <v>0.24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30.39</v>
      </c>
      <c r="F20" s="6">
        <v>30.41</v>
      </c>
      <c r="G20" s="1">
        <v>50.5</v>
      </c>
      <c r="H20" s="1">
        <v>45.4</v>
      </c>
      <c r="I20" s="1">
        <v>43.7</v>
      </c>
      <c r="J20" s="6">
        <v>54.5</v>
      </c>
      <c r="K20" s="5">
        <v>0.317</v>
      </c>
      <c r="L20" s="6">
        <v>0.28299999999999997</v>
      </c>
      <c r="M20" s="1">
        <v>87</v>
      </c>
      <c r="N20" s="6">
        <v>94</v>
      </c>
      <c r="O20" s="1" t="s">
        <v>21</v>
      </c>
      <c r="P20" s="1" t="s">
        <v>22</v>
      </c>
      <c r="Q20" s="1" t="s">
        <v>23</v>
      </c>
      <c r="R20" s="6" t="s">
        <v>22</v>
      </c>
      <c r="S20" s="1" t="s">
        <v>22</v>
      </c>
      <c r="T20" s="1" t="s">
        <v>22</v>
      </c>
      <c r="U20" s="12">
        <v>7.0000000000000007E-2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30.28</v>
      </c>
      <c r="F21" s="6">
        <v>30.26</v>
      </c>
      <c r="G21" s="1">
        <v>49</v>
      </c>
      <c r="H21" s="1">
        <v>45.9</v>
      </c>
      <c r="I21" s="1">
        <v>43.5</v>
      </c>
      <c r="J21" s="6">
        <v>56.3</v>
      </c>
      <c r="K21" s="5">
        <v>0.31</v>
      </c>
      <c r="L21" s="6">
        <v>0.25600000000000001</v>
      </c>
      <c r="M21" s="1">
        <v>90</v>
      </c>
      <c r="N21" s="6">
        <v>84</v>
      </c>
      <c r="O21" s="1" t="s">
        <v>29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12">
        <v>0.08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30.01</v>
      </c>
      <c r="F22" s="6">
        <v>29.84</v>
      </c>
      <c r="G22" s="1">
        <v>46.4</v>
      </c>
      <c r="H22" s="1">
        <v>45.4</v>
      </c>
      <c r="I22" s="1">
        <v>42.7</v>
      </c>
      <c r="J22" s="6">
        <v>54.5</v>
      </c>
      <c r="K22" s="5">
        <v>0.25</v>
      </c>
      <c r="L22" s="6">
        <v>0.26</v>
      </c>
      <c r="M22" s="1">
        <v>80</v>
      </c>
      <c r="N22" s="6">
        <v>87</v>
      </c>
      <c r="O22" s="1" t="s">
        <v>25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12">
        <v>0.3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29.92</v>
      </c>
      <c r="F23" s="6">
        <v>29.99</v>
      </c>
      <c r="G23" s="1">
        <v>50.5</v>
      </c>
      <c r="H23" s="1">
        <v>42.4</v>
      </c>
      <c r="I23" s="1">
        <v>40.700000000000003</v>
      </c>
      <c r="J23" s="6">
        <v>57.4</v>
      </c>
      <c r="K23" s="5">
        <v>0.27100000000000002</v>
      </c>
      <c r="L23" s="6">
        <v>0.27100000000000002</v>
      </c>
      <c r="M23" s="1">
        <v>74</v>
      </c>
      <c r="N23" s="6">
        <v>100</v>
      </c>
      <c r="O23" s="1" t="s">
        <v>26</v>
      </c>
      <c r="P23" s="1" t="s">
        <v>22</v>
      </c>
      <c r="Q23" s="1" t="s">
        <v>29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30.02</v>
      </c>
      <c r="F24" s="6">
        <v>30.06</v>
      </c>
      <c r="G24" s="1">
        <v>50</v>
      </c>
      <c r="H24" s="1">
        <v>49.5</v>
      </c>
      <c r="I24" s="1">
        <v>42.4</v>
      </c>
      <c r="J24" s="6">
        <v>62.9</v>
      </c>
      <c r="K24" s="5">
        <v>0.309</v>
      </c>
      <c r="L24" s="6">
        <v>0.32900000000000001</v>
      </c>
      <c r="M24" s="1">
        <v>86</v>
      </c>
      <c r="N24" s="6">
        <v>94</v>
      </c>
      <c r="O24" s="1" t="s">
        <v>23</v>
      </c>
      <c r="P24" s="1" t="s">
        <v>22</v>
      </c>
      <c r="Q24" s="1" t="s">
        <v>23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30.05</v>
      </c>
      <c r="F25" s="6">
        <v>30.03</v>
      </c>
      <c r="G25" s="1">
        <v>49</v>
      </c>
      <c r="H25" s="1">
        <v>49.5</v>
      </c>
      <c r="I25" s="1">
        <v>41.7</v>
      </c>
      <c r="J25" s="6">
        <v>61.4</v>
      </c>
      <c r="K25" s="5">
        <v>0.31</v>
      </c>
      <c r="L25" s="6">
        <v>0.32900000000000001</v>
      </c>
      <c r="M25" s="1">
        <v>90</v>
      </c>
      <c r="N25" s="6">
        <v>94</v>
      </c>
      <c r="O25" s="1" t="s">
        <v>25</v>
      </c>
      <c r="P25" s="1" t="s">
        <v>22</v>
      </c>
      <c r="Q25" s="1" t="s">
        <v>29</v>
      </c>
      <c r="R25" s="6" t="s">
        <v>22</v>
      </c>
      <c r="S25" s="1" t="s">
        <v>22</v>
      </c>
      <c r="T25" s="1" t="s">
        <v>22</v>
      </c>
      <c r="U25" s="12">
        <v>0.16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29.96</v>
      </c>
      <c r="F26" s="6">
        <v>29.93</v>
      </c>
      <c r="G26" s="1">
        <v>51.5</v>
      </c>
      <c r="H26" s="1">
        <v>49.5</v>
      </c>
      <c r="I26" s="1">
        <v>45.7</v>
      </c>
      <c r="J26" s="6">
        <v>54</v>
      </c>
      <c r="K26" s="5">
        <v>0.317</v>
      </c>
      <c r="L26" s="6">
        <v>0.32400000000000001</v>
      </c>
      <c r="M26" s="1">
        <v>83</v>
      </c>
      <c r="N26" s="6">
        <v>92</v>
      </c>
      <c r="O26" s="1" t="s">
        <v>29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12">
        <v>0.02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29.85</v>
      </c>
      <c r="F27" s="6">
        <v>29.81</v>
      </c>
      <c r="G27" s="1">
        <v>53</v>
      </c>
      <c r="H27" s="1">
        <v>54.5</v>
      </c>
      <c r="I27" s="1">
        <v>47.6</v>
      </c>
      <c r="J27" s="6">
        <v>61.4</v>
      </c>
      <c r="K27" s="5">
        <v>0.32200000000000001</v>
      </c>
      <c r="L27" s="6">
        <v>0.34200000000000003</v>
      </c>
      <c r="M27" s="1">
        <v>80</v>
      </c>
      <c r="N27" s="6">
        <v>81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29.78</v>
      </c>
      <c r="F28" s="6">
        <v>29.76</v>
      </c>
      <c r="G28" s="1">
        <v>59.2</v>
      </c>
      <c r="H28" s="1">
        <v>56</v>
      </c>
      <c r="I28" s="1">
        <v>52.4</v>
      </c>
      <c r="J28" s="6">
        <v>63.4</v>
      </c>
      <c r="K28" s="5">
        <v>0.36499999999999999</v>
      </c>
      <c r="L28" s="6">
        <v>0.35299999999999998</v>
      </c>
      <c r="M28" s="1">
        <v>73</v>
      </c>
      <c r="N28" s="6">
        <v>78</v>
      </c>
      <c r="O28" s="1" t="s">
        <v>26</v>
      </c>
      <c r="P28" s="1" t="s">
        <v>22</v>
      </c>
      <c r="Q28" s="1" t="s">
        <v>27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29.68</v>
      </c>
      <c r="F29" s="6">
        <v>29.64</v>
      </c>
      <c r="G29" s="1">
        <v>54.5</v>
      </c>
      <c r="H29" s="1">
        <v>54.5</v>
      </c>
      <c r="I29" s="1">
        <v>49.6</v>
      </c>
      <c r="J29" s="6">
        <v>61.9</v>
      </c>
      <c r="K29" s="5">
        <v>0.34200000000000003</v>
      </c>
      <c r="L29" s="6">
        <v>0.36799999999999999</v>
      </c>
      <c r="M29" s="1">
        <v>81</v>
      </c>
      <c r="N29" s="6">
        <v>87</v>
      </c>
      <c r="O29" s="1" t="s">
        <v>29</v>
      </c>
      <c r="P29" s="1" t="s">
        <v>22</v>
      </c>
      <c r="Q29" s="1" t="s">
        <v>29</v>
      </c>
      <c r="R29" s="6" t="s">
        <v>22</v>
      </c>
      <c r="S29" s="1" t="s">
        <v>22</v>
      </c>
      <c r="T29" s="1" t="s">
        <v>22</v>
      </c>
      <c r="U29" s="12">
        <v>0.06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29.66</v>
      </c>
      <c r="F30" s="6">
        <v>29.71</v>
      </c>
      <c r="G30" s="1">
        <v>54.5</v>
      </c>
      <c r="H30" s="1">
        <v>46.9</v>
      </c>
      <c r="I30" s="1">
        <v>44.9</v>
      </c>
      <c r="J30" s="6">
        <v>59.2</v>
      </c>
      <c r="K30" s="5">
        <v>0.255</v>
      </c>
      <c r="L30" s="6">
        <v>0.28299999999999997</v>
      </c>
      <c r="M30" s="1">
        <v>60</v>
      </c>
      <c r="N30" s="6">
        <v>89</v>
      </c>
      <c r="O30" s="1" t="s">
        <v>29</v>
      </c>
      <c r="P30" s="1" t="s">
        <v>22</v>
      </c>
      <c r="Q30" s="1" t="s">
        <v>24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29.75</v>
      </c>
      <c r="F31" s="6">
        <v>29.7</v>
      </c>
      <c r="G31" s="1">
        <v>53.5</v>
      </c>
      <c r="H31" s="1">
        <v>50.5</v>
      </c>
      <c r="I31" s="1">
        <v>46.7</v>
      </c>
      <c r="J31" s="6">
        <v>55.5</v>
      </c>
      <c r="K31" s="5">
        <v>0.25800000000000001</v>
      </c>
      <c r="L31" s="6">
        <v>0.317</v>
      </c>
      <c r="M31" s="1">
        <v>64</v>
      </c>
      <c r="N31" s="6">
        <v>87</v>
      </c>
      <c r="O31" s="1" t="s">
        <v>29</v>
      </c>
      <c r="P31" s="1" t="s">
        <v>22</v>
      </c>
      <c r="Q31" s="1" t="s">
        <v>21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29.55</v>
      </c>
      <c r="F32" s="6">
        <v>29.65</v>
      </c>
      <c r="G32" s="1">
        <v>55.5</v>
      </c>
      <c r="H32" s="1">
        <v>54.5</v>
      </c>
      <c r="I32" s="1">
        <v>49.6</v>
      </c>
      <c r="J32" s="6">
        <v>62.2</v>
      </c>
      <c r="K32" s="5">
        <v>0.37</v>
      </c>
      <c r="L32" s="6">
        <v>0.41099999999999998</v>
      </c>
      <c r="M32" s="1">
        <v>84</v>
      </c>
      <c r="N32" s="6">
        <v>97</v>
      </c>
      <c r="O32" s="1" t="s">
        <v>29</v>
      </c>
      <c r="P32" s="1" t="s">
        <v>22</v>
      </c>
      <c r="Q32" s="1" t="s">
        <v>26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30.59</v>
      </c>
      <c r="F33" s="6">
        <v>29.75</v>
      </c>
      <c r="G33" s="1">
        <v>50.5</v>
      </c>
      <c r="H33" s="1">
        <v>49.5</v>
      </c>
      <c r="I33" s="1">
        <v>45.7</v>
      </c>
      <c r="J33" s="6">
        <v>58.9</v>
      </c>
      <c r="K33" s="5">
        <v>0.34200000000000003</v>
      </c>
      <c r="L33" s="6">
        <v>0.28199999999999997</v>
      </c>
      <c r="M33" s="1">
        <v>94</v>
      </c>
      <c r="N33" s="6">
        <v>80</v>
      </c>
      <c r="O33" s="1" t="s">
        <v>29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12">
        <v>0.14000000000000001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30.03</v>
      </c>
      <c r="F34" s="6">
        <v>30.13</v>
      </c>
      <c r="G34" s="1">
        <v>53.5</v>
      </c>
      <c r="H34" s="1">
        <v>47.2</v>
      </c>
      <c r="I34" s="1">
        <v>45.7</v>
      </c>
      <c r="J34" s="6">
        <v>64.2</v>
      </c>
      <c r="K34" s="5">
        <v>0.29399999999999998</v>
      </c>
      <c r="L34" s="6">
        <v>0.28399999999999997</v>
      </c>
      <c r="M34" s="1">
        <v>72</v>
      </c>
      <c r="N34" s="6">
        <v>89</v>
      </c>
      <c r="O34" s="1" t="s">
        <v>29</v>
      </c>
      <c r="P34" s="1" t="s">
        <v>22</v>
      </c>
      <c r="Q34" s="1" t="s">
        <v>23</v>
      </c>
      <c r="R34" s="6" t="s">
        <v>22</v>
      </c>
      <c r="S34" s="1" t="s">
        <v>22</v>
      </c>
      <c r="T34" s="1" t="s">
        <v>22</v>
      </c>
      <c r="U34" s="12">
        <v>0.02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30.04</v>
      </c>
      <c r="F35" s="9">
        <v>29.95</v>
      </c>
      <c r="G35" s="8">
        <v>49.5</v>
      </c>
      <c r="H35" s="8">
        <v>52.5</v>
      </c>
      <c r="I35" s="8">
        <v>42.7</v>
      </c>
      <c r="J35" s="9">
        <v>55</v>
      </c>
      <c r="K35" s="7">
        <v>0.29199999999999998</v>
      </c>
      <c r="L35" s="9">
        <v>0.36799999999999999</v>
      </c>
      <c r="M35" s="8">
        <v>83</v>
      </c>
      <c r="N35" s="9">
        <v>94</v>
      </c>
      <c r="O35" s="8" t="s">
        <v>23</v>
      </c>
      <c r="P35" s="8" t="s">
        <v>22</v>
      </c>
      <c r="Q35" s="8" t="s">
        <v>23</v>
      </c>
      <c r="R35" s="9" t="s">
        <v>22</v>
      </c>
      <c r="S35" s="8" t="s">
        <v>22</v>
      </c>
      <c r="T35" s="8" t="s">
        <v>22</v>
      </c>
      <c r="U35" s="13">
        <v>0.05</v>
      </c>
    </row>
    <row r="36" spans="1:21" s="1" customFormat="1">
      <c r="A36" s="14"/>
      <c r="B36" s="15"/>
      <c r="C36" s="15"/>
      <c r="D36" s="16" t="s">
        <v>30</v>
      </c>
      <c r="E36" s="15">
        <v>29.914000000000001</v>
      </c>
      <c r="F36" s="16">
        <v>29.896999999999998</v>
      </c>
      <c r="G36" s="14">
        <v>49.7</v>
      </c>
      <c r="H36" s="15">
        <v>47.2</v>
      </c>
      <c r="I36" s="15">
        <v>42.6</v>
      </c>
      <c r="J36" s="16">
        <v>56.6</v>
      </c>
      <c r="K36" s="15">
        <v>0.28499999999999998</v>
      </c>
      <c r="L36" s="15">
        <v>0.28299999999999997</v>
      </c>
      <c r="M36" s="14">
        <v>80.5</v>
      </c>
      <c r="N36" s="16">
        <v>87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2.14</v>
      </c>
    </row>
    <row r="37" spans="1:21">
      <c r="E37">
        <f>SUM(E5:E35)/31</f>
        <v>29.914516129032247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D17" workbookViewId="0">
      <selection activeCell="F37" sqref="F37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30.04</v>
      </c>
      <c r="F5" s="6">
        <v>30.07</v>
      </c>
      <c r="G5" s="1">
        <v>40.6</v>
      </c>
      <c r="H5" s="1">
        <v>37.799999999999997</v>
      </c>
      <c r="I5" s="1">
        <v>32.4</v>
      </c>
      <c r="J5" s="6">
        <v>47.5</v>
      </c>
      <c r="K5" s="5">
        <v>0.21199999999999999</v>
      </c>
      <c r="L5" s="6">
        <v>0.189</v>
      </c>
      <c r="M5" s="1">
        <v>84</v>
      </c>
      <c r="N5" s="6">
        <v>83</v>
      </c>
      <c r="O5" s="1" t="s">
        <v>23</v>
      </c>
      <c r="P5" s="1">
        <v>2</v>
      </c>
      <c r="Q5" s="1" t="s">
        <v>23</v>
      </c>
      <c r="R5" s="6">
        <v>1</v>
      </c>
      <c r="S5" s="1">
        <v>8</v>
      </c>
      <c r="T5" s="1">
        <v>8</v>
      </c>
      <c r="U5" s="12">
        <v>0.02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30.06</v>
      </c>
      <c r="F6" s="6">
        <v>29.86</v>
      </c>
      <c r="G6" s="1">
        <v>36.6</v>
      </c>
      <c r="H6" s="1">
        <v>39.299999999999997</v>
      </c>
      <c r="I6" s="1">
        <v>34.4</v>
      </c>
      <c r="J6" s="6">
        <v>43.5</v>
      </c>
      <c r="K6" s="5">
        <v>0.16700000000000001</v>
      </c>
      <c r="L6" s="6">
        <v>0.189</v>
      </c>
      <c r="M6" s="1">
        <v>77</v>
      </c>
      <c r="N6" s="6">
        <v>79</v>
      </c>
      <c r="O6" s="1" t="s">
        <v>21</v>
      </c>
      <c r="P6" s="1">
        <v>3</v>
      </c>
      <c r="Q6" s="1" t="s">
        <v>27</v>
      </c>
      <c r="R6" s="6">
        <v>4</v>
      </c>
      <c r="S6" s="1">
        <v>4</v>
      </c>
      <c r="T6" s="1">
        <v>10</v>
      </c>
      <c r="U6" s="12">
        <v>0.15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29.95</v>
      </c>
      <c r="F7" s="6">
        <v>30.02</v>
      </c>
      <c r="G7" s="1">
        <v>32.5</v>
      </c>
      <c r="H7" s="1">
        <v>34.5</v>
      </c>
      <c r="I7" s="1">
        <v>32.4</v>
      </c>
      <c r="J7" s="6">
        <v>41.2</v>
      </c>
      <c r="K7" s="5">
        <v>0.16800000000000001</v>
      </c>
      <c r="L7" s="6">
        <v>0.158</v>
      </c>
      <c r="M7" s="1">
        <v>91</v>
      </c>
      <c r="N7" s="6">
        <v>78</v>
      </c>
      <c r="O7" s="1" t="s">
        <v>24</v>
      </c>
      <c r="P7" s="1">
        <v>3</v>
      </c>
      <c r="Q7" s="1" t="s">
        <v>24</v>
      </c>
      <c r="R7" s="6">
        <v>1</v>
      </c>
      <c r="S7" s="1">
        <v>8</v>
      </c>
      <c r="T7" s="1">
        <v>7</v>
      </c>
      <c r="U7" s="12">
        <v>0.03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30.01</v>
      </c>
      <c r="F8" s="6">
        <v>30.06</v>
      </c>
      <c r="G8" s="1">
        <v>37.6</v>
      </c>
      <c r="H8" s="1">
        <v>36.799999999999997</v>
      </c>
      <c r="I8" s="1">
        <v>34.4</v>
      </c>
      <c r="J8" s="6">
        <v>40.799999999999997</v>
      </c>
      <c r="K8" s="5">
        <v>0.184</v>
      </c>
      <c r="L8" s="6">
        <v>0.19500000000000001</v>
      </c>
      <c r="M8" s="1">
        <v>81</v>
      </c>
      <c r="N8" s="6">
        <v>90</v>
      </c>
      <c r="O8" s="1" t="s">
        <v>24</v>
      </c>
      <c r="P8" s="1">
        <v>2</v>
      </c>
      <c r="Q8" s="1" t="s">
        <v>24</v>
      </c>
      <c r="R8" s="6">
        <v>2</v>
      </c>
      <c r="S8" s="1">
        <v>8</v>
      </c>
      <c r="T8" s="1">
        <v>9</v>
      </c>
      <c r="U8" s="12">
        <v>0.2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30.02</v>
      </c>
      <c r="F9" s="6">
        <v>30.1</v>
      </c>
      <c r="G9" s="1">
        <v>40.6</v>
      </c>
      <c r="H9" s="1">
        <v>39</v>
      </c>
      <c r="I9" s="1">
        <v>34.799999999999997</v>
      </c>
      <c r="J9" s="6">
        <v>42.1</v>
      </c>
      <c r="K9" s="5">
        <v>0.23</v>
      </c>
      <c r="L9" s="6">
        <v>0.23</v>
      </c>
      <c r="M9" s="1">
        <v>91</v>
      </c>
      <c r="N9" s="6">
        <v>97</v>
      </c>
      <c r="O9" s="1" t="s">
        <v>24</v>
      </c>
      <c r="P9" s="1">
        <v>1</v>
      </c>
      <c r="Q9" s="1" t="s">
        <v>24</v>
      </c>
      <c r="R9" s="6">
        <v>0.5</v>
      </c>
      <c r="S9" s="1">
        <v>10</v>
      </c>
      <c r="T9" s="1">
        <v>7</v>
      </c>
      <c r="U9" s="12">
        <v>0.03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30.08</v>
      </c>
      <c r="F10" s="6">
        <v>30</v>
      </c>
      <c r="G10" s="1">
        <v>42.6</v>
      </c>
      <c r="H10" s="1">
        <v>44.6</v>
      </c>
      <c r="I10" s="1">
        <v>36.1</v>
      </c>
      <c r="J10" s="6">
        <v>49.3</v>
      </c>
      <c r="K10" s="5">
        <v>0.217</v>
      </c>
      <c r="L10" s="6">
        <v>0.23300000000000001</v>
      </c>
      <c r="M10" s="1">
        <v>80</v>
      </c>
      <c r="N10" s="6">
        <v>79</v>
      </c>
      <c r="O10" s="1" t="s">
        <v>24</v>
      </c>
      <c r="P10" s="1">
        <v>1</v>
      </c>
      <c r="Q10" s="1" t="s">
        <v>28</v>
      </c>
      <c r="R10" s="6">
        <v>1</v>
      </c>
      <c r="S10" s="1">
        <v>8</v>
      </c>
      <c r="T10" s="1">
        <v>8</v>
      </c>
      <c r="U10" s="12" t="s">
        <v>22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29.82</v>
      </c>
      <c r="F11" s="6">
        <v>29.88</v>
      </c>
      <c r="G11" s="1">
        <v>46</v>
      </c>
      <c r="H11" s="1">
        <v>33.4</v>
      </c>
      <c r="I11" s="1">
        <v>33.4</v>
      </c>
      <c r="J11" s="6">
        <v>48.5</v>
      </c>
      <c r="K11" s="5">
        <v>0.20399999999999999</v>
      </c>
      <c r="L11" s="6">
        <v>0.161</v>
      </c>
      <c r="M11" s="1">
        <v>66</v>
      </c>
      <c r="N11" s="6">
        <v>84</v>
      </c>
      <c r="O11" s="1" t="s">
        <v>29</v>
      </c>
      <c r="P11" s="1">
        <v>0.5</v>
      </c>
      <c r="Q11" s="1" t="s">
        <v>24</v>
      </c>
      <c r="R11" s="6">
        <v>2</v>
      </c>
      <c r="S11" s="1">
        <v>5</v>
      </c>
      <c r="T11" s="1">
        <v>10</v>
      </c>
      <c r="U11" s="12">
        <v>7.0000000000000007E-2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29.81</v>
      </c>
      <c r="F12" s="6">
        <v>29.83</v>
      </c>
      <c r="G12" s="1">
        <v>35.700000000000003</v>
      </c>
      <c r="H12" s="1">
        <v>31.2</v>
      </c>
      <c r="I12" s="1">
        <v>31.2</v>
      </c>
      <c r="J12" s="6">
        <v>44.5</v>
      </c>
      <c r="K12" s="5">
        <v>0.17199999999999999</v>
      </c>
      <c r="L12" s="6">
        <v>0.16300000000000001</v>
      </c>
      <c r="M12" s="1">
        <v>82</v>
      </c>
      <c r="N12" s="6">
        <v>93</v>
      </c>
      <c r="O12" s="1" t="s">
        <v>24</v>
      </c>
      <c r="P12" s="1">
        <v>2</v>
      </c>
      <c r="Q12" s="1" t="s">
        <v>24</v>
      </c>
      <c r="R12" s="6">
        <v>1</v>
      </c>
      <c r="S12" s="1">
        <v>6</v>
      </c>
      <c r="T12" s="1">
        <v>6</v>
      </c>
      <c r="U12" s="12">
        <v>0.04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29.75</v>
      </c>
      <c r="F13" s="6">
        <v>29.74</v>
      </c>
      <c r="G13" s="1">
        <v>35</v>
      </c>
      <c r="H13" s="1">
        <v>36.9</v>
      </c>
      <c r="I13" s="1">
        <v>31.2</v>
      </c>
      <c r="J13" s="6">
        <v>42.5</v>
      </c>
      <c r="K13" s="5">
        <v>0.19600000000000001</v>
      </c>
      <c r="L13" s="6">
        <v>0.21299999999999999</v>
      </c>
      <c r="M13" s="1">
        <v>96</v>
      </c>
      <c r="N13" s="6">
        <v>97</v>
      </c>
      <c r="O13" s="1" t="s">
        <v>24</v>
      </c>
      <c r="P13" s="1">
        <v>2</v>
      </c>
      <c r="Q13" s="1" t="s">
        <v>24</v>
      </c>
      <c r="R13" s="6">
        <v>1</v>
      </c>
      <c r="S13" s="1">
        <v>8</v>
      </c>
      <c r="T13" s="1">
        <v>7</v>
      </c>
      <c r="U13" s="12">
        <v>0.02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29.62</v>
      </c>
      <c r="F14" s="6">
        <v>29.51</v>
      </c>
      <c r="G14" s="1">
        <v>38</v>
      </c>
      <c r="H14" s="1">
        <v>35.9</v>
      </c>
      <c r="I14" s="1">
        <v>35.4</v>
      </c>
      <c r="J14" s="6">
        <v>40.5</v>
      </c>
      <c r="K14" s="5">
        <v>0.21199999999999999</v>
      </c>
      <c r="L14" s="6">
        <v>0.17100000000000001</v>
      </c>
      <c r="M14" s="1">
        <v>93</v>
      </c>
      <c r="N14" s="6">
        <v>81</v>
      </c>
      <c r="O14" s="1" t="s">
        <v>23</v>
      </c>
      <c r="P14" s="1">
        <v>2</v>
      </c>
      <c r="Q14" s="1" t="s">
        <v>26</v>
      </c>
      <c r="R14" s="6">
        <v>8</v>
      </c>
      <c r="S14" s="1">
        <v>9</v>
      </c>
      <c r="T14" s="1">
        <v>10</v>
      </c>
      <c r="U14" s="12">
        <v>0.1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29.44</v>
      </c>
      <c r="F15" s="6">
        <v>29.69</v>
      </c>
      <c r="G15" s="1">
        <v>40.6</v>
      </c>
      <c r="H15" s="1">
        <v>38.4</v>
      </c>
      <c r="I15" s="1">
        <v>34.4</v>
      </c>
      <c r="J15" s="6">
        <v>47.7</v>
      </c>
      <c r="K15" s="5">
        <v>0.182</v>
      </c>
      <c r="L15" s="6">
        <v>0.184</v>
      </c>
      <c r="M15" s="1">
        <v>71</v>
      </c>
      <c r="N15" s="6">
        <v>80</v>
      </c>
      <c r="O15" s="1" t="s">
        <v>25</v>
      </c>
      <c r="P15" s="1">
        <v>6</v>
      </c>
      <c r="Q15" s="1" t="s">
        <v>25</v>
      </c>
      <c r="R15" s="6">
        <v>2</v>
      </c>
      <c r="S15" s="1">
        <v>7</v>
      </c>
      <c r="T15" s="1">
        <v>7</v>
      </c>
      <c r="U15" s="12">
        <v>0.01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29.48</v>
      </c>
      <c r="F16" s="6">
        <v>29.45</v>
      </c>
      <c r="G16" s="1">
        <v>41.4</v>
      </c>
      <c r="H16" s="1">
        <v>45.6</v>
      </c>
      <c r="I16" s="1">
        <v>31.7</v>
      </c>
      <c r="J16" s="6">
        <v>48.9</v>
      </c>
      <c r="K16" s="5">
        <v>0.17199999999999999</v>
      </c>
      <c r="L16" s="6">
        <v>0.23799999999999999</v>
      </c>
      <c r="M16" s="1">
        <v>66</v>
      </c>
      <c r="N16" s="6">
        <v>78</v>
      </c>
      <c r="O16" s="1" t="s">
        <v>25</v>
      </c>
      <c r="P16" s="1">
        <v>1</v>
      </c>
      <c r="Q16" s="1" t="s">
        <v>25</v>
      </c>
      <c r="R16" s="6">
        <v>6</v>
      </c>
      <c r="S16" s="1">
        <v>8</v>
      </c>
      <c r="T16" s="1">
        <v>7</v>
      </c>
      <c r="U16" s="12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29.51</v>
      </c>
      <c r="F17" s="6">
        <v>29.58</v>
      </c>
      <c r="G17" s="1">
        <v>53</v>
      </c>
      <c r="H17" s="1">
        <v>48.5</v>
      </c>
      <c r="I17" s="1">
        <v>44.7</v>
      </c>
      <c r="J17" s="6">
        <v>55.7</v>
      </c>
      <c r="K17" s="5">
        <v>0.26300000000000001</v>
      </c>
      <c r="L17" s="6">
        <v>0.26300000000000001</v>
      </c>
      <c r="M17" s="1">
        <v>66</v>
      </c>
      <c r="N17" s="6">
        <v>77</v>
      </c>
      <c r="O17" s="1" t="s">
        <v>25</v>
      </c>
      <c r="P17" s="1">
        <v>6</v>
      </c>
      <c r="Q17" s="1" t="s">
        <v>25</v>
      </c>
      <c r="R17" s="6">
        <v>8</v>
      </c>
      <c r="S17" s="1">
        <v>6</v>
      </c>
      <c r="T17" s="1">
        <v>6</v>
      </c>
      <c r="U17" s="12">
        <v>0.25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29.66</v>
      </c>
      <c r="F18" s="6">
        <v>29.8</v>
      </c>
      <c r="G18" s="1">
        <v>49.5</v>
      </c>
      <c r="H18" s="1">
        <v>46.5</v>
      </c>
      <c r="I18" s="1">
        <v>44.6</v>
      </c>
      <c r="J18" s="6">
        <v>54.7</v>
      </c>
      <c r="K18" s="5">
        <v>0.26700000000000002</v>
      </c>
      <c r="L18" s="6">
        <v>0.27900000000000003</v>
      </c>
      <c r="M18" s="1">
        <v>76</v>
      </c>
      <c r="N18" s="6">
        <v>89</v>
      </c>
      <c r="O18" s="1" t="s">
        <v>25</v>
      </c>
      <c r="P18" s="1">
        <v>6</v>
      </c>
      <c r="Q18" s="1" t="s">
        <v>25</v>
      </c>
      <c r="R18" s="6">
        <v>2</v>
      </c>
      <c r="S18" s="1">
        <v>7</v>
      </c>
      <c r="T18" s="1">
        <v>9</v>
      </c>
      <c r="U18" s="12">
        <v>0.08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30.01</v>
      </c>
      <c r="F19" s="6">
        <v>30.21</v>
      </c>
      <c r="G19" s="1">
        <v>50.7</v>
      </c>
      <c r="H19" s="1">
        <v>47.5</v>
      </c>
      <c r="I19" s="1">
        <v>38.5</v>
      </c>
      <c r="J19" s="6">
        <v>58.7</v>
      </c>
      <c r="K19" s="5">
        <v>0.224</v>
      </c>
      <c r="L19" s="6">
        <v>0.25900000000000001</v>
      </c>
      <c r="M19" s="1">
        <v>61</v>
      </c>
      <c r="N19" s="6">
        <v>80</v>
      </c>
      <c r="O19" s="1" t="s">
        <v>27</v>
      </c>
      <c r="P19" s="1">
        <v>2</v>
      </c>
      <c r="Q19" s="1" t="s">
        <v>29</v>
      </c>
      <c r="R19" s="6">
        <v>1</v>
      </c>
      <c r="S19" s="1">
        <v>3</v>
      </c>
      <c r="T19" s="1">
        <v>4</v>
      </c>
      <c r="U19" s="12">
        <v>0.01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30.31</v>
      </c>
      <c r="F20" s="6">
        <v>30.37</v>
      </c>
      <c r="G20" s="1">
        <v>48.5</v>
      </c>
      <c r="H20" s="1">
        <v>47.1</v>
      </c>
      <c r="I20" s="1">
        <v>33.6</v>
      </c>
      <c r="J20" s="6">
        <v>59.5</v>
      </c>
      <c r="K20" s="5">
        <v>0.217</v>
      </c>
      <c r="L20" s="6">
        <v>0.24199999999999999</v>
      </c>
      <c r="M20" s="1">
        <v>64</v>
      </c>
      <c r="N20" s="6">
        <v>75</v>
      </c>
      <c r="O20" s="1" t="s">
        <v>27</v>
      </c>
      <c r="P20" s="1">
        <v>4</v>
      </c>
      <c r="Q20" s="1" t="s">
        <v>21</v>
      </c>
      <c r="R20" s="6">
        <v>3</v>
      </c>
      <c r="S20" s="1">
        <v>5</v>
      </c>
      <c r="T20" s="1">
        <v>2</v>
      </c>
      <c r="U20" s="12" t="s">
        <v>22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30.3</v>
      </c>
      <c r="F21" s="6">
        <v>30.28</v>
      </c>
      <c r="G21" s="1">
        <v>42.1</v>
      </c>
      <c r="H21" s="1">
        <v>43.6</v>
      </c>
      <c r="I21" s="1">
        <v>33.700000000000003</v>
      </c>
      <c r="J21" s="6">
        <v>53.7</v>
      </c>
      <c r="K21" s="5">
        <v>0.23400000000000001</v>
      </c>
      <c r="L21" s="6">
        <v>0.219</v>
      </c>
      <c r="M21" s="1">
        <v>88</v>
      </c>
      <c r="N21" s="6">
        <v>77</v>
      </c>
      <c r="O21" s="1" t="s">
        <v>25</v>
      </c>
      <c r="P21" s="1">
        <v>2</v>
      </c>
      <c r="Q21" s="1" t="s">
        <v>27</v>
      </c>
      <c r="R21" s="6">
        <v>1</v>
      </c>
      <c r="S21" s="1">
        <v>9</v>
      </c>
      <c r="T21" s="1">
        <v>6</v>
      </c>
      <c r="U21" s="12">
        <v>0.03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30.11</v>
      </c>
      <c r="F22" s="6">
        <v>29.88</v>
      </c>
      <c r="G22" s="1">
        <v>46.1</v>
      </c>
      <c r="H22" s="1">
        <v>44.8</v>
      </c>
      <c r="I22" s="1">
        <v>40.6</v>
      </c>
      <c r="J22" s="6">
        <v>49.5</v>
      </c>
      <c r="K22" s="5">
        <v>0.20100000000000001</v>
      </c>
      <c r="L22" s="6">
        <v>0.245</v>
      </c>
      <c r="M22" s="1">
        <v>65</v>
      </c>
      <c r="N22" s="6">
        <v>83</v>
      </c>
      <c r="O22" s="1" t="s">
        <v>26</v>
      </c>
      <c r="P22" s="1">
        <v>2</v>
      </c>
      <c r="Q22" s="1" t="s">
        <v>27</v>
      </c>
      <c r="R22" s="6">
        <v>4</v>
      </c>
      <c r="S22" s="1">
        <v>7</v>
      </c>
      <c r="T22" s="1">
        <v>7</v>
      </c>
      <c r="U22" s="12">
        <v>0.04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29.97</v>
      </c>
      <c r="F23" s="6">
        <v>29.97</v>
      </c>
      <c r="G23" s="1">
        <v>43.6</v>
      </c>
      <c r="H23" s="1">
        <v>42.6</v>
      </c>
      <c r="I23" s="1">
        <v>40.299999999999997</v>
      </c>
      <c r="J23" s="6">
        <v>50.7</v>
      </c>
      <c r="K23" s="5">
        <v>0.20100000000000001</v>
      </c>
      <c r="L23" s="6">
        <v>0.23400000000000001</v>
      </c>
      <c r="M23" s="1">
        <v>71</v>
      </c>
      <c r="N23" s="6">
        <v>86</v>
      </c>
      <c r="O23" s="1" t="s">
        <v>27</v>
      </c>
      <c r="P23" s="1">
        <v>2</v>
      </c>
      <c r="Q23" s="1" t="s">
        <v>24</v>
      </c>
      <c r="R23" s="6">
        <v>1</v>
      </c>
      <c r="S23" s="1">
        <v>7</v>
      </c>
      <c r="T23" s="1">
        <v>7</v>
      </c>
      <c r="U23" s="12">
        <v>0.01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30.02</v>
      </c>
      <c r="F24" s="6">
        <v>30.04</v>
      </c>
      <c r="G24" s="1">
        <v>45.3</v>
      </c>
      <c r="H24" s="1">
        <v>49.8</v>
      </c>
      <c r="I24" s="1">
        <v>32.6</v>
      </c>
      <c r="J24" s="6">
        <v>60.5</v>
      </c>
      <c r="K24" s="5">
        <v>0.20899999999999999</v>
      </c>
      <c r="L24" s="6">
        <v>0.25700000000000001</v>
      </c>
      <c r="M24" s="1">
        <v>70</v>
      </c>
      <c r="N24" s="6">
        <v>72</v>
      </c>
      <c r="O24" s="1" t="s">
        <v>23</v>
      </c>
      <c r="P24" s="1">
        <v>1</v>
      </c>
      <c r="Q24" s="1" t="s">
        <v>25</v>
      </c>
      <c r="R24" s="6">
        <v>2</v>
      </c>
      <c r="S24" s="1">
        <v>6</v>
      </c>
      <c r="T24" s="1">
        <v>8</v>
      </c>
      <c r="U24" s="12" t="s">
        <v>22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30.02</v>
      </c>
      <c r="F25" s="6">
        <v>29.97</v>
      </c>
      <c r="G25" s="1">
        <v>53.2</v>
      </c>
      <c r="H25" s="1">
        <v>51.7</v>
      </c>
      <c r="I25" s="1">
        <v>42.5</v>
      </c>
      <c r="J25" s="6">
        <v>63.5</v>
      </c>
      <c r="K25" s="5">
        <v>0.30399999999999999</v>
      </c>
      <c r="L25" s="6">
        <v>0.30299999999999999</v>
      </c>
      <c r="M25" s="1">
        <v>75</v>
      </c>
      <c r="N25" s="6">
        <v>79</v>
      </c>
      <c r="O25" s="1" t="s">
        <v>25</v>
      </c>
      <c r="P25" s="1">
        <v>1</v>
      </c>
      <c r="Q25" s="1" t="s">
        <v>25</v>
      </c>
      <c r="R25" s="6">
        <v>1</v>
      </c>
      <c r="S25" s="1">
        <v>7</v>
      </c>
      <c r="T25" s="1">
        <v>8</v>
      </c>
      <c r="U25" s="12" t="s">
        <v>22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29.94</v>
      </c>
      <c r="F26" s="6">
        <v>30.01</v>
      </c>
      <c r="G26" s="1">
        <v>50.5</v>
      </c>
      <c r="H26" s="1">
        <v>45.6</v>
      </c>
      <c r="I26" s="1">
        <v>45</v>
      </c>
      <c r="J26" s="6">
        <v>54.3</v>
      </c>
      <c r="K26" s="5">
        <v>0.29299999999999998</v>
      </c>
      <c r="L26" s="6">
        <v>0.223</v>
      </c>
      <c r="M26" s="1">
        <v>80</v>
      </c>
      <c r="N26" s="6">
        <v>73</v>
      </c>
      <c r="O26" s="1" t="s">
        <v>25</v>
      </c>
      <c r="P26" s="1">
        <v>4</v>
      </c>
      <c r="Q26" s="1" t="s">
        <v>27</v>
      </c>
      <c r="R26" s="6">
        <v>2</v>
      </c>
      <c r="S26" s="1">
        <v>7</v>
      </c>
      <c r="T26" s="1">
        <v>7</v>
      </c>
      <c r="U26" s="12" t="s">
        <v>22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29.88</v>
      </c>
      <c r="F27" s="6">
        <v>29.85</v>
      </c>
      <c r="G27" s="1">
        <v>51.5</v>
      </c>
      <c r="H27" s="1">
        <v>51.2</v>
      </c>
      <c r="I27" s="1">
        <v>44.5</v>
      </c>
      <c r="J27" s="6">
        <v>64.3</v>
      </c>
      <c r="K27" s="5">
        <v>0.28000000000000003</v>
      </c>
      <c r="L27" s="6">
        <v>0.28599999999999998</v>
      </c>
      <c r="M27" s="1">
        <v>74</v>
      </c>
      <c r="N27" s="6">
        <v>76</v>
      </c>
      <c r="O27" s="1" t="s">
        <v>25</v>
      </c>
      <c r="P27" s="1">
        <v>4</v>
      </c>
      <c r="Q27" s="1" t="s">
        <v>25</v>
      </c>
      <c r="R27" s="6">
        <v>4</v>
      </c>
      <c r="S27" s="1">
        <v>8</v>
      </c>
      <c r="T27" s="1">
        <v>7</v>
      </c>
      <c r="U27" s="12" t="s">
        <v>22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29.79</v>
      </c>
      <c r="F28" s="6">
        <v>29.77</v>
      </c>
      <c r="G28" s="1">
        <v>54.8</v>
      </c>
      <c r="H28" s="1">
        <v>52.7</v>
      </c>
      <c r="I28" s="1">
        <v>47.6</v>
      </c>
      <c r="J28" s="6">
        <v>59.2</v>
      </c>
      <c r="K28" s="5">
        <v>0.32</v>
      </c>
      <c r="L28" s="6">
        <v>0.29099999999999998</v>
      </c>
      <c r="M28" s="1">
        <v>75</v>
      </c>
      <c r="N28" s="6">
        <v>74</v>
      </c>
      <c r="O28" s="1" t="s">
        <v>25</v>
      </c>
      <c r="P28" s="1">
        <v>8</v>
      </c>
      <c r="Q28" s="1" t="s">
        <v>25</v>
      </c>
      <c r="R28" s="6">
        <v>4</v>
      </c>
      <c r="S28" s="1">
        <v>5</v>
      </c>
      <c r="T28" s="1">
        <v>8</v>
      </c>
      <c r="U28" s="12" t="s">
        <v>22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29.69</v>
      </c>
      <c r="F29" s="6">
        <v>29.61</v>
      </c>
      <c r="G29" s="1">
        <v>55.7</v>
      </c>
      <c r="H29" s="1">
        <v>51.5</v>
      </c>
      <c r="I29" s="1">
        <v>47.5</v>
      </c>
      <c r="J29" s="6">
        <v>57.7</v>
      </c>
      <c r="K29" s="5">
        <v>0.30399999999999999</v>
      </c>
      <c r="L29" s="6">
        <v>0.33</v>
      </c>
      <c r="M29" s="1">
        <v>69</v>
      </c>
      <c r="N29" s="6">
        <v>87</v>
      </c>
      <c r="O29" s="1" t="s">
        <v>25</v>
      </c>
      <c r="P29" s="1">
        <v>6</v>
      </c>
      <c r="Q29" s="1" t="s">
        <v>27</v>
      </c>
      <c r="R29" s="6">
        <v>4</v>
      </c>
      <c r="S29" s="1">
        <v>5</v>
      </c>
      <c r="T29" s="1">
        <v>9</v>
      </c>
      <c r="U29" s="12">
        <v>0.2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29.65</v>
      </c>
      <c r="F30" s="6">
        <v>29.75</v>
      </c>
      <c r="G30" s="1">
        <v>49.2</v>
      </c>
      <c r="H30" s="1">
        <v>45.4</v>
      </c>
      <c r="I30" s="1">
        <v>44</v>
      </c>
      <c r="J30" s="6">
        <v>56.7</v>
      </c>
      <c r="K30" s="5">
        <v>0.21199999999999999</v>
      </c>
      <c r="L30" s="6">
        <v>0.221</v>
      </c>
      <c r="M30" s="1">
        <v>60</v>
      </c>
      <c r="N30" s="6">
        <v>73</v>
      </c>
      <c r="O30" s="1" t="s">
        <v>26</v>
      </c>
      <c r="P30" s="1">
        <v>2</v>
      </c>
      <c r="Q30" s="1" t="s">
        <v>23</v>
      </c>
      <c r="R30" s="6">
        <v>1</v>
      </c>
      <c r="S30" s="1">
        <v>4</v>
      </c>
      <c r="T30" s="1">
        <v>7</v>
      </c>
      <c r="U30" s="12" t="s">
        <v>22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29.86</v>
      </c>
      <c r="F31" s="6">
        <v>29.81</v>
      </c>
      <c r="G31" s="1">
        <v>48.5</v>
      </c>
      <c r="H31" s="1">
        <v>48.5</v>
      </c>
      <c r="I31" s="1">
        <v>33</v>
      </c>
      <c r="J31" s="6">
        <v>56.5</v>
      </c>
      <c r="K31" s="5">
        <v>0.19500000000000001</v>
      </c>
      <c r="L31" s="6">
        <v>0.23</v>
      </c>
      <c r="M31" s="1">
        <v>58</v>
      </c>
      <c r="N31" s="6">
        <v>68</v>
      </c>
      <c r="O31" s="1" t="s">
        <v>25</v>
      </c>
      <c r="P31" s="1">
        <v>3</v>
      </c>
      <c r="Q31" s="1" t="s">
        <v>25</v>
      </c>
      <c r="R31" s="6">
        <v>2</v>
      </c>
      <c r="S31" s="1">
        <v>6</v>
      </c>
      <c r="T31" s="1">
        <v>7</v>
      </c>
      <c r="U31" s="12" t="s">
        <v>22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29.61</v>
      </c>
      <c r="F32" s="6">
        <v>29.69</v>
      </c>
      <c r="G32" s="1">
        <v>51.5</v>
      </c>
      <c r="H32" s="1">
        <v>52.5</v>
      </c>
      <c r="I32" s="1">
        <v>44.3</v>
      </c>
      <c r="J32" s="6">
        <v>57.3</v>
      </c>
      <c r="K32" s="5">
        <v>0.317</v>
      </c>
      <c r="L32" s="6">
        <v>0.32400000000000001</v>
      </c>
      <c r="M32" s="1">
        <v>83</v>
      </c>
      <c r="N32" s="6">
        <v>82</v>
      </c>
      <c r="O32" s="1" t="s">
        <v>25</v>
      </c>
      <c r="P32" s="1">
        <v>6</v>
      </c>
      <c r="Q32" s="1" t="s">
        <v>25</v>
      </c>
      <c r="R32" s="6">
        <v>4</v>
      </c>
      <c r="S32" s="1">
        <v>7</v>
      </c>
      <c r="T32" s="1">
        <v>9</v>
      </c>
      <c r="U32" s="12">
        <v>0.22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29.66</v>
      </c>
      <c r="F33" s="6">
        <v>29.78</v>
      </c>
      <c r="G33" s="1">
        <v>47.5</v>
      </c>
      <c r="H33" s="1">
        <v>44.6</v>
      </c>
      <c r="I33" s="1">
        <v>44.5</v>
      </c>
      <c r="J33" s="6">
        <v>54.5</v>
      </c>
      <c r="K33" s="5">
        <v>0.28100000000000003</v>
      </c>
      <c r="L33" s="6">
        <v>0.27800000000000002</v>
      </c>
      <c r="M33" s="1">
        <v>87</v>
      </c>
      <c r="N33" s="6">
        <v>94</v>
      </c>
      <c r="O33" s="1" t="s">
        <v>25</v>
      </c>
      <c r="P33" s="1">
        <v>6</v>
      </c>
      <c r="Q33" s="1" t="s">
        <v>25</v>
      </c>
      <c r="R33" s="6">
        <v>2</v>
      </c>
      <c r="S33" s="1">
        <v>7</v>
      </c>
      <c r="T33" s="1">
        <v>6</v>
      </c>
      <c r="U33" s="12">
        <v>0.08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30</v>
      </c>
      <c r="F34" s="6">
        <v>30.13</v>
      </c>
      <c r="G34" s="1">
        <v>49.3</v>
      </c>
      <c r="H34" s="1">
        <v>45.1</v>
      </c>
      <c r="I34" s="1">
        <v>42.3</v>
      </c>
      <c r="J34" s="6">
        <v>55.5</v>
      </c>
      <c r="K34" s="5">
        <v>0.21199999999999999</v>
      </c>
      <c r="L34" s="6">
        <v>0.19600000000000001</v>
      </c>
      <c r="M34" s="1">
        <v>61</v>
      </c>
      <c r="N34" s="6">
        <v>66</v>
      </c>
      <c r="O34" s="1" t="s">
        <v>27</v>
      </c>
      <c r="P34" s="1">
        <v>2</v>
      </c>
      <c r="Q34" s="1" t="s">
        <v>25</v>
      </c>
      <c r="R34" s="6">
        <v>1</v>
      </c>
      <c r="S34" s="1">
        <v>5</v>
      </c>
      <c r="T34" s="1">
        <v>1</v>
      </c>
      <c r="U34" s="12" t="s">
        <v>22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7">
        <v>30.06</v>
      </c>
      <c r="F35" s="9">
        <v>29.98</v>
      </c>
      <c r="G35" s="8">
        <v>45.6</v>
      </c>
      <c r="H35" s="8">
        <v>45.6</v>
      </c>
      <c r="I35" s="8">
        <v>32.700000000000003</v>
      </c>
      <c r="J35" s="9">
        <v>52.1</v>
      </c>
      <c r="K35" s="7">
        <v>0.28000000000000003</v>
      </c>
      <c r="L35" s="9">
        <v>0.28000000000000003</v>
      </c>
      <c r="M35" s="8">
        <v>92</v>
      </c>
      <c r="N35" s="9">
        <v>92</v>
      </c>
      <c r="O35" s="8" t="s">
        <v>25</v>
      </c>
      <c r="P35" s="8">
        <v>1</v>
      </c>
      <c r="Q35" s="8" t="s">
        <v>29</v>
      </c>
      <c r="R35" s="9">
        <v>4</v>
      </c>
      <c r="S35" s="8">
        <v>9</v>
      </c>
      <c r="T35" s="8">
        <v>7</v>
      </c>
      <c r="U35" s="13">
        <v>0.26</v>
      </c>
    </row>
    <row r="36" spans="1:21">
      <c r="A36" s="14"/>
      <c r="B36" s="15"/>
      <c r="C36" s="15"/>
      <c r="D36" s="16" t="s">
        <v>30</v>
      </c>
      <c r="E36" s="15">
        <v>29.875</v>
      </c>
      <c r="F36" s="16">
        <v>29.891999999999999</v>
      </c>
      <c r="G36" s="14">
        <v>45.3</v>
      </c>
      <c r="H36" s="15">
        <v>43.8</v>
      </c>
      <c r="I36" s="15">
        <v>38</v>
      </c>
      <c r="J36" s="16">
        <v>52</v>
      </c>
      <c r="K36" s="15">
        <v>0.23</v>
      </c>
      <c r="L36" s="15">
        <v>0.23499999999999999</v>
      </c>
      <c r="M36" s="14">
        <v>75.900000000000006</v>
      </c>
      <c r="N36" s="16">
        <v>81.400000000000006</v>
      </c>
      <c r="O36" s="14" t="s">
        <v>22</v>
      </c>
      <c r="P36" s="15">
        <v>3</v>
      </c>
      <c r="Q36" s="15" t="s">
        <v>22</v>
      </c>
      <c r="R36" s="16">
        <v>2.6</v>
      </c>
      <c r="S36" s="14">
        <v>6.7</v>
      </c>
      <c r="T36" s="16">
        <v>7.1</v>
      </c>
      <c r="U36" s="17">
        <v>1.85</v>
      </c>
    </row>
    <row r="37" spans="1:21">
      <c r="F37" s="1">
        <f>SUM(F5:F35)/31</f>
        <v>29.893225806451611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A21" workbookViewId="0">
      <selection activeCell="U23" sqref="U23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30.04</v>
      </c>
      <c r="F5" s="6">
        <v>30.09</v>
      </c>
      <c r="G5" s="1">
        <v>50</v>
      </c>
      <c r="H5" s="1">
        <v>43.3</v>
      </c>
      <c r="I5" s="1">
        <v>36</v>
      </c>
      <c r="J5" s="6">
        <v>53.6</v>
      </c>
      <c r="K5" s="5">
        <v>0.222</v>
      </c>
      <c r="L5" s="6">
        <v>0.23100000000000001</v>
      </c>
      <c r="M5" s="1">
        <v>62</v>
      </c>
      <c r="N5" s="6">
        <v>82</v>
      </c>
      <c r="O5" s="1" t="s">
        <v>23</v>
      </c>
      <c r="P5" s="1">
        <v>2</v>
      </c>
      <c r="Q5" s="1" t="s">
        <v>24</v>
      </c>
      <c r="R5" s="6">
        <v>4</v>
      </c>
      <c r="S5" s="1">
        <v>0</v>
      </c>
      <c r="T5" s="1">
        <v>0</v>
      </c>
      <c r="U5" s="12" t="s">
        <v>22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30.11</v>
      </c>
      <c r="F6" s="6">
        <v>30.02</v>
      </c>
      <c r="G6" s="1">
        <v>47</v>
      </c>
      <c r="H6" s="1">
        <v>44.3</v>
      </c>
      <c r="I6" s="1">
        <v>40</v>
      </c>
      <c r="J6" s="6">
        <v>51.1</v>
      </c>
      <c r="K6" s="5">
        <v>0.19500000000000001</v>
      </c>
      <c r="L6" s="6">
        <v>0.22900000000000001</v>
      </c>
      <c r="M6" s="1">
        <v>61</v>
      </c>
      <c r="N6" s="6">
        <v>78</v>
      </c>
      <c r="O6" s="1" t="s">
        <v>24</v>
      </c>
      <c r="P6" s="1">
        <v>1</v>
      </c>
      <c r="Q6" s="1" t="s">
        <v>28</v>
      </c>
      <c r="R6" s="6">
        <v>6</v>
      </c>
      <c r="S6" s="1">
        <v>4</v>
      </c>
      <c r="T6" s="1">
        <v>10</v>
      </c>
      <c r="U6" s="12" t="s">
        <v>22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30.01</v>
      </c>
      <c r="F7" s="6">
        <v>30.03</v>
      </c>
      <c r="G7" s="1">
        <v>43.8</v>
      </c>
      <c r="H7" s="1">
        <v>47.7</v>
      </c>
      <c r="I7" s="1">
        <v>39</v>
      </c>
      <c r="J7" s="6">
        <v>48.8</v>
      </c>
      <c r="K7" s="5">
        <v>0.20499999999999999</v>
      </c>
      <c r="L7" s="6">
        <v>0.152</v>
      </c>
      <c r="M7" s="1">
        <v>71</v>
      </c>
      <c r="N7" s="6">
        <v>46</v>
      </c>
      <c r="O7" s="1" t="s">
        <v>33</v>
      </c>
      <c r="P7" s="1">
        <v>0</v>
      </c>
      <c r="Q7" s="1" t="s">
        <v>28</v>
      </c>
      <c r="R7" s="6">
        <v>2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30.06</v>
      </c>
      <c r="F8" s="6">
        <v>30.08</v>
      </c>
      <c r="G8" s="1">
        <v>44.9</v>
      </c>
      <c r="H8" s="1">
        <v>44</v>
      </c>
      <c r="I8" s="1">
        <v>38.9</v>
      </c>
      <c r="J8" s="6">
        <v>48.7</v>
      </c>
      <c r="K8" s="5">
        <v>0.19600000000000001</v>
      </c>
      <c r="L8" s="6">
        <v>0.222</v>
      </c>
      <c r="M8" s="1">
        <v>66</v>
      </c>
      <c r="N8" s="6">
        <v>76</v>
      </c>
      <c r="O8" s="1" t="s">
        <v>33</v>
      </c>
      <c r="P8" s="1">
        <v>0</v>
      </c>
      <c r="Q8" s="1" t="s">
        <v>24</v>
      </c>
      <c r="R8" s="6">
        <v>2</v>
      </c>
      <c r="S8" s="1">
        <v>4</v>
      </c>
      <c r="T8" s="1">
        <v>10</v>
      </c>
      <c r="U8" s="12">
        <v>0.02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30.05</v>
      </c>
      <c r="F9" s="6">
        <v>30.07</v>
      </c>
      <c r="G9" s="1">
        <v>47</v>
      </c>
      <c r="H9" s="1">
        <v>47.4</v>
      </c>
      <c r="I9" s="1">
        <v>41</v>
      </c>
      <c r="J9" s="6">
        <v>53.2</v>
      </c>
      <c r="K9" s="5">
        <v>0.22900000000000001</v>
      </c>
      <c r="L9" s="6">
        <v>0.23499999999999999</v>
      </c>
      <c r="M9" s="1">
        <v>72</v>
      </c>
      <c r="N9" s="6">
        <v>73</v>
      </c>
      <c r="O9" s="1" t="s">
        <v>24</v>
      </c>
      <c r="P9" s="1">
        <v>2</v>
      </c>
      <c r="Q9" s="1" t="s">
        <v>33</v>
      </c>
      <c r="R9" s="6">
        <v>0</v>
      </c>
      <c r="S9" s="1">
        <v>8</v>
      </c>
      <c r="T9" s="1">
        <v>10</v>
      </c>
      <c r="U9" s="12">
        <v>0.01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30.08</v>
      </c>
      <c r="F10" s="6">
        <v>30.04</v>
      </c>
      <c r="G10" s="1">
        <v>46.5</v>
      </c>
      <c r="H10" s="1">
        <v>42.7</v>
      </c>
      <c r="I10" s="1">
        <v>42.2</v>
      </c>
      <c r="J10" s="6">
        <v>52.1</v>
      </c>
      <c r="K10" s="5">
        <v>0.22800000000000001</v>
      </c>
      <c r="L10" s="6">
        <v>0.25700000000000001</v>
      </c>
      <c r="M10" s="1">
        <v>72</v>
      </c>
      <c r="N10" s="6">
        <v>93</v>
      </c>
      <c r="O10" s="1" t="s">
        <v>33</v>
      </c>
      <c r="P10" s="1">
        <v>0</v>
      </c>
      <c r="Q10" s="1" t="s">
        <v>33</v>
      </c>
      <c r="R10" s="6">
        <v>0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29.86</v>
      </c>
      <c r="F11" s="6">
        <v>29.87</v>
      </c>
      <c r="G11" s="1">
        <v>47</v>
      </c>
      <c r="H11" s="1">
        <v>38</v>
      </c>
      <c r="I11" s="1">
        <v>34.299999999999997</v>
      </c>
      <c r="J11" s="6">
        <v>50.3</v>
      </c>
      <c r="K11" s="5">
        <v>0.26</v>
      </c>
      <c r="L11" s="6">
        <v>0.19</v>
      </c>
      <c r="M11" s="1">
        <v>81</v>
      </c>
      <c r="N11" s="6">
        <v>83</v>
      </c>
      <c r="O11" s="1" t="s">
        <v>34</v>
      </c>
      <c r="P11" s="1">
        <v>2</v>
      </c>
      <c r="Q11" s="1" t="s">
        <v>24</v>
      </c>
      <c r="R11" s="6">
        <v>4</v>
      </c>
      <c r="S11" s="1">
        <v>7</v>
      </c>
      <c r="T11" s="1">
        <v>10</v>
      </c>
      <c r="U11" s="12">
        <v>0.06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29.79</v>
      </c>
      <c r="F12" s="6">
        <v>29.77</v>
      </c>
      <c r="G12" s="1">
        <v>40.200000000000003</v>
      </c>
      <c r="H12" s="1">
        <v>40</v>
      </c>
      <c r="I12" s="1">
        <v>35.299999999999997</v>
      </c>
      <c r="J12" s="6">
        <v>46.8</v>
      </c>
      <c r="K12" s="5">
        <v>0.16700000000000001</v>
      </c>
      <c r="L12" s="6">
        <v>0.156</v>
      </c>
      <c r="M12" s="1">
        <v>67</v>
      </c>
      <c r="N12" s="6">
        <v>63</v>
      </c>
      <c r="O12" s="1" t="s">
        <v>24</v>
      </c>
      <c r="P12" s="1">
        <v>3</v>
      </c>
      <c r="Q12" s="1" t="s">
        <v>24</v>
      </c>
      <c r="R12" s="6">
        <v>3</v>
      </c>
      <c r="S12" s="1">
        <v>9</v>
      </c>
      <c r="T12" s="1">
        <v>6</v>
      </c>
      <c r="U12" s="12" t="s">
        <v>22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29.77</v>
      </c>
      <c r="F13" s="6">
        <v>29.79</v>
      </c>
      <c r="G13" s="1">
        <v>43</v>
      </c>
      <c r="H13" s="1">
        <v>37.799999999999997</v>
      </c>
      <c r="I13" s="1">
        <v>35.200000000000003</v>
      </c>
      <c r="J13" s="6">
        <v>46.1</v>
      </c>
      <c r="K13" s="5">
        <v>0.16600000000000001</v>
      </c>
      <c r="L13" s="6">
        <v>0.17</v>
      </c>
      <c r="M13" s="1">
        <v>59</v>
      </c>
      <c r="N13" s="6">
        <v>75</v>
      </c>
      <c r="O13" s="1" t="s">
        <v>35</v>
      </c>
      <c r="P13" s="1">
        <v>3</v>
      </c>
      <c r="Q13" s="1" t="s">
        <v>28</v>
      </c>
      <c r="R13" s="6">
        <v>1</v>
      </c>
      <c r="S13" s="1">
        <v>6</v>
      </c>
      <c r="T13" s="1">
        <v>1</v>
      </c>
      <c r="U13" s="12" t="s">
        <v>22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29.69</v>
      </c>
      <c r="F14" s="6">
        <v>29.64</v>
      </c>
      <c r="G14" s="1">
        <v>45</v>
      </c>
      <c r="H14" s="1">
        <v>41</v>
      </c>
      <c r="I14" s="1">
        <v>35</v>
      </c>
      <c r="J14" s="6">
        <v>47.7</v>
      </c>
      <c r="K14" s="5">
        <v>0.214</v>
      </c>
      <c r="L14" s="6">
        <v>0.21099999999999999</v>
      </c>
      <c r="M14" s="1">
        <v>72</v>
      </c>
      <c r="N14" s="6">
        <v>83</v>
      </c>
      <c r="O14" s="1" t="s">
        <v>34</v>
      </c>
      <c r="P14" s="1">
        <v>5</v>
      </c>
      <c r="Q14" s="1" t="s">
        <v>34</v>
      </c>
      <c r="R14" s="6">
        <v>5</v>
      </c>
      <c r="S14" s="1">
        <v>8</v>
      </c>
      <c r="T14" s="1">
        <v>8</v>
      </c>
      <c r="U14" s="12">
        <v>0.18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29.55</v>
      </c>
      <c r="F15" s="6">
        <v>29.65</v>
      </c>
      <c r="G15" s="1">
        <v>42.6</v>
      </c>
      <c r="H15" s="1">
        <v>43</v>
      </c>
      <c r="I15" s="1">
        <v>37</v>
      </c>
      <c r="J15" s="6">
        <v>46.7</v>
      </c>
      <c r="K15" s="5">
        <v>0.223</v>
      </c>
      <c r="L15" s="6">
        <v>0.21299999999999999</v>
      </c>
      <c r="M15" s="1">
        <v>82</v>
      </c>
      <c r="N15" s="6">
        <v>77</v>
      </c>
      <c r="O15" s="1" t="s">
        <v>36</v>
      </c>
      <c r="P15" s="1">
        <v>6</v>
      </c>
      <c r="Q15" s="1" t="s">
        <v>26</v>
      </c>
      <c r="R15" s="6">
        <v>4</v>
      </c>
      <c r="S15" s="1">
        <v>10</v>
      </c>
      <c r="T15" s="1">
        <v>3</v>
      </c>
      <c r="U15" s="12">
        <v>0.13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29.35</v>
      </c>
      <c r="F16" s="6">
        <v>29.42</v>
      </c>
      <c r="G16" s="1">
        <v>45.5</v>
      </c>
      <c r="H16" s="1">
        <v>47.2</v>
      </c>
      <c r="I16" s="1">
        <v>37.200000000000003</v>
      </c>
      <c r="J16" s="6">
        <v>51.8</v>
      </c>
      <c r="K16" s="5">
        <v>0.253</v>
      </c>
      <c r="L16" s="6">
        <v>0.3</v>
      </c>
      <c r="M16" s="1">
        <v>83</v>
      </c>
      <c r="N16" s="6">
        <v>93</v>
      </c>
      <c r="O16" s="1" t="s">
        <v>37</v>
      </c>
      <c r="P16" s="1">
        <v>6</v>
      </c>
      <c r="Q16" s="1" t="s">
        <v>38</v>
      </c>
      <c r="R16" s="6">
        <v>1</v>
      </c>
      <c r="S16" s="1">
        <v>10</v>
      </c>
      <c r="T16" s="1">
        <v>9</v>
      </c>
      <c r="U16" s="12">
        <v>0.12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29.47</v>
      </c>
      <c r="F17" s="6">
        <v>29.51</v>
      </c>
      <c r="G17" s="1">
        <v>52.5</v>
      </c>
      <c r="H17" s="1">
        <v>51</v>
      </c>
      <c r="I17" s="1">
        <v>43</v>
      </c>
      <c r="J17" s="6">
        <v>59.7</v>
      </c>
      <c r="K17" s="5">
        <v>0.313</v>
      </c>
      <c r="L17" s="6">
        <v>0.28299999999999997</v>
      </c>
      <c r="M17" s="1">
        <v>80</v>
      </c>
      <c r="N17" s="6">
        <v>76</v>
      </c>
      <c r="O17" s="1" t="s">
        <v>29</v>
      </c>
      <c r="P17" s="1">
        <v>2</v>
      </c>
      <c r="Q17" s="1" t="s">
        <v>29</v>
      </c>
      <c r="R17" s="6">
        <v>5</v>
      </c>
      <c r="S17" s="1">
        <v>8</v>
      </c>
      <c r="T17" s="1">
        <v>4</v>
      </c>
      <c r="U17" s="12">
        <v>0.33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29.65</v>
      </c>
      <c r="F18" s="6">
        <v>29.79</v>
      </c>
      <c r="G18" s="1">
        <v>50</v>
      </c>
      <c r="H18" s="1">
        <v>49.1</v>
      </c>
      <c r="I18" s="1">
        <v>47.3</v>
      </c>
      <c r="J18" s="6">
        <v>55.4</v>
      </c>
      <c r="K18" s="5">
        <v>0.28799999999999998</v>
      </c>
      <c r="L18" s="6">
        <v>0.30399999999999999</v>
      </c>
      <c r="M18" s="1">
        <v>81</v>
      </c>
      <c r="N18" s="6">
        <v>87</v>
      </c>
      <c r="O18" s="1" t="s">
        <v>39</v>
      </c>
      <c r="P18" s="1">
        <v>4</v>
      </c>
      <c r="Q18" s="1" t="s">
        <v>33</v>
      </c>
      <c r="R18" s="6">
        <v>0</v>
      </c>
      <c r="S18" s="1">
        <v>9</v>
      </c>
      <c r="T18" s="1">
        <v>9</v>
      </c>
      <c r="U18" s="12">
        <v>0.2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30.04</v>
      </c>
      <c r="F19" s="6">
        <v>30.25</v>
      </c>
      <c r="G19" s="1">
        <v>52.2</v>
      </c>
      <c r="H19" s="1">
        <v>46.2</v>
      </c>
      <c r="I19" s="1">
        <v>41.6</v>
      </c>
      <c r="J19" s="6">
        <v>57.8</v>
      </c>
      <c r="K19" s="5">
        <v>0.28100000000000003</v>
      </c>
      <c r="L19" s="6">
        <v>0.26700000000000002</v>
      </c>
      <c r="M19" s="1">
        <v>72</v>
      </c>
      <c r="N19" s="6">
        <v>86</v>
      </c>
      <c r="O19" s="1" t="s">
        <v>33</v>
      </c>
      <c r="P19" s="1">
        <v>0</v>
      </c>
      <c r="Q19" s="1" t="s">
        <v>33</v>
      </c>
      <c r="R19" s="6">
        <v>0</v>
      </c>
      <c r="S19" s="1">
        <v>8</v>
      </c>
      <c r="T19" s="1">
        <v>1</v>
      </c>
      <c r="U19" s="12" t="s">
        <v>22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30.38</v>
      </c>
      <c r="F20" s="6">
        <v>30.42</v>
      </c>
      <c r="G20" s="1">
        <v>51</v>
      </c>
      <c r="H20" s="1">
        <v>45</v>
      </c>
      <c r="I20" s="1">
        <v>40.9</v>
      </c>
      <c r="J20" s="6">
        <v>54.8</v>
      </c>
      <c r="K20" s="5">
        <v>0.28299999999999997</v>
      </c>
      <c r="L20" s="6">
        <v>0.255</v>
      </c>
      <c r="M20" s="1">
        <v>76</v>
      </c>
      <c r="N20" s="6">
        <v>86</v>
      </c>
      <c r="O20" s="1" t="s">
        <v>26</v>
      </c>
      <c r="P20" s="1">
        <v>2</v>
      </c>
      <c r="Q20" s="1" t="s">
        <v>33</v>
      </c>
      <c r="R20" s="6">
        <v>0</v>
      </c>
      <c r="S20" s="1">
        <v>8</v>
      </c>
      <c r="T20" s="1">
        <v>2</v>
      </c>
      <c r="U20" s="12">
        <v>0.15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30.35</v>
      </c>
      <c r="F21" s="6">
        <v>30.36</v>
      </c>
      <c r="G21" s="1">
        <v>49.8</v>
      </c>
      <c r="H21" s="1">
        <v>47</v>
      </c>
      <c r="I21" s="1">
        <v>40</v>
      </c>
      <c r="J21" s="6">
        <v>52.6</v>
      </c>
      <c r="K21" s="5">
        <v>0.312</v>
      </c>
      <c r="L21" s="6">
        <v>0.249</v>
      </c>
      <c r="M21" s="1">
        <v>87</v>
      </c>
      <c r="N21" s="6">
        <v>78</v>
      </c>
      <c r="O21" s="1" t="s">
        <v>25</v>
      </c>
      <c r="P21" s="1">
        <v>3</v>
      </c>
      <c r="Q21" s="1" t="s">
        <v>26</v>
      </c>
      <c r="R21" s="6">
        <v>2</v>
      </c>
      <c r="S21" s="1">
        <v>10</v>
      </c>
      <c r="T21" s="1">
        <v>10</v>
      </c>
      <c r="U21" s="12">
        <v>0.01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30.2</v>
      </c>
      <c r="F22" s="6">
        <v>29.99</v>
      </c>
      <c r="G22" s="1">
        <v>49</v>
      </c>
      <c r="H22" s="1">
        <v>48</v>
      </c>
      <c r="I22" s="1">
        <v>44.9</v>
      </c>
      <c r="J22" s="6">
        <v>49.8</v>
      </c>
      <c r="K22" s="5">
        <v>0.27</v>
      </c>
      <c r="L22" s="6">
        <v>0.27</v>
      </c>
      <c r="M22" s="1">
        <v>77</v>
      </c>
      <c r="N22" s="6">
        <v>81</v>
      </c>
      <c r="O22" s="1" t="s">
        <v>26</v>
      </c>
      <c r="P22" s="1">
        <v>7</v>
      </c>
      <c r="Q22" s="1" t="s">
        <v>26</v>
      </c>
      <c r="R22" s="6">
        <v>5</v>
      </c>
      <c r="S22" s="1">
        <v>10</v>
      </c>
      <c r="T22" s="1">
        <v>10</v>
      </c>
      <c r="U22" s="12">
        <v>0.25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30.03</v>
      </c>
      <c r="F23" s="6">
        <v>29.98</v>
      </c>
      <c r="G23" s="1">
        <v>49.1</v>
      </c>
      <c r="H23" s="1">
        <v>46.1</v>
      </c>
      <c r="I23" s="1">
        <v>44</v>
      </c>
      <c r="J23" s="6">
        <v>52</v>
      </c>
      <c r="K23" s="5">
        <v>0.254</v>
      </c>
      <c r="L23" s="6">
        <v>0.27500000000000002</v>
      </c>
      <c r="M23" s="1">
        <v>73</v>
      </c>
      <c r="N23" s="6">
        <v>89</v>
      </c>
      <c r="O23" s="1" t="s">
        <v>27</v>
      </c>
      <c r="P23" s="1">
        <v>4</v>
      </c>
      <c r="Q23" s="1" t="s">
        <v>33</v>
      </c>
      <c r="R23" s="6">
        <v>0</v>
      </c>
      <c r="S23" s="1">
        <v>5</v>
      </c>
      <c r="T23" s="1">
        <v>10</v>
      </c>
      <c r="U23" s="12" t="s">
        <v>22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30</v>
      </c>
      <c r="F24" s="6">
        <v>30.07</v>
      </c>
      <c r="G24" s="1">
        <v>55.5</v>
      </c>
      <c r="H24" s="1">
        <v>48.5</v>
      </c>
      <c r="I24" s="1">
        <v>40</v>
      </c>
      <c r="J24" s="6">
        <v>60.7</v>
      </c>
      <c r="K24" s="5">
        <v>0.27700000000000002</v>
      </c>
      <c r="L24" s="6">
        <v>0.311</v>
      </c>
      <c r="M24" s="1">
        <v>63</v>
      </c>
      <c r="N24" s="6">
        <v>92</v>
      </c>
      <c r="O24" s="1" t="s">
        <v>29</v>
      </c>
      <c r="P24" s="1">
        <v>1</v>
      </c>
      <c r="Q24" s="1" t="s">
        <v>33</v>
      </c>
      <c r="R24" s="6">
        <v>0</v>
      </c>
      <c r="S24" s="1">
        <v>3</v>
      </c>
      <c r="T24" s="1">
        <v>9</v>
      </c>
      <c r="U24" s="12">
        <v>0.01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30.11</v>
      </c>
      <c r="F25" s="6">
        <v>30.08</v>
      </c>
      <c r="G25" s="1">
        <v>51.8</v>
      </c>
      <c r="H25" s="1">
        <v>50</v>
      </c>
      <c r="I25" s="1">
        <v>44.9</v>
      </c>
      <c r="J25" s="6">
        <v>54.8</v>
      </c>
      <c r="K25" s="5">
        <v>0.316</v>
      </c>
      <c r="L25" s="6">
        <v>0.29499999999999998</v>
      </c>
      <c r="M25" s="1">
        <v>82</v>
      </c>
      <c r="N25" s="6">
        <v>82</v>
      </c>
      <c r="O25" s="1" t="s">
        <v>34</v>
      </c>
      <c r="P25" s="1">
        <v>1</v>
      </c>
      <c r="Q25" s="1" t="s">
        <v>33</v>
      </c>
      <c r="R25" s="6">
        <v>0</v>
      </c>
      <c r="S25" s="1">
        <v>10</v>
      </c>
      <c r="T25" s="1">
        <v>10</v>
      </c>
      <c r="U25" s="12">
        <v>0.03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30.01</v>
      </c>
      <c r="F26" s="6">
        <v>29.98</v>
      </c>
      <c r="G26" s="1">
        <v>50.2</v>
      </c>
      <c r="H26" s="1">
        <v>50.9</v>
      </c>
      <c r="I26" s="1">
        <v>50</v>
      </c>
      <c r="J26" s="6">
        <v>54.7</v>
      </c>
      <c r="K26" s="5">
        <v>0.33500000000000002</v>
      </c>
      <c r="L26" s="6">
        <v>0.34399999999999997</v>
      </c>
      <c r="M26" s="1">
        <v>93</v>
      </c>
      <c r="N26" s="6">
        <v>93</v>
      </c>
      <c r="O26" s="1" t="s">
        <v>26</v>
      </c>
      <c r="P26" s="1">
        <v>4</v>
      </c>
      <c r="Q26" s="1" t="s">
        <v>25</v>
      </c>
      <c r="R26" s="6">
        <v>2</v>
      </c>
      <c r="S26" s="1">
        <v>10</v>
      </c>
      <c r="T26" s="1">
        <v>9</v>
      </c>
      <c r="U26" s="12">
        <v>0.05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29.98</v>
      </c>
      <c r="F27" s="6">
        <v>29.94</v>
      </c>
      <c r="G27" s="1">
        <v>50</v>
      </c>
      <c r="H27" s="1">
        <v>50.2</v>
      </c>
      <c r="I27" s="1">
        <v>47.2</v>
      </c>
      <c r="J27" s="6">
        <v>55.3</v>
      </c>
      <c r="K27" s="5">
        <v>0.34499999999999997</v>
      </c>
      <c r="L27" s="6">
        <v>0.32</v>
      </c>
      <c r="M27" s="1">
        <v>96</v>
      </c>
      <c r="N27" s="6">
        <v>89</v>
      </c>
      <c r="O27" s="1" t="s">
        <v>26</v>
      </c>
      <c r="P27" s="1">
        <v>3</v>
      </c>
      <c r="Q27" s="1" t="s">
        <v>25</v>
      </c>
      <c r="R27" s="6">
        <v>6</v>
      </c>
      <c r="S27" s="1">
        <v>10</v>
      </c>
      <c r="T27" s="1">
        <v>10</v>
      </c>
      <c r="U27" s="12">
        <v>0.12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29.87</v>
      </c>
      <c r="F28" s="6">
        <v>29.8</v>
      </c>
      <c r="G28" s="1">
        <v>52</v>
      </c>
      <c r="H28" s="1">
        <v>52.4</v>
      </c>
      <c r="I28" s="1">
        <v>50</v>
      </c>
      <c r="J28" s="6">
        <v>60.4</v>
      </c>
      <c r="K28" s="5">
        <v>0.33500000000000002</v>
      </c>
      <c r="L28" s="6">
        <v>0.33</v>
      </c>
      <c r="M28" s="1">
        <v>86</v>
      </c>
      <c r="N28" s="6">
        <v>84</v>
      </c>
      <c r="O28" s="1" t="s">
        <v>25</v>
      </c>
      <c r="P28" s="1">
        <v>4</v>
      </c>
      <c r="Q28" s="1" t="s">
        <v>39</v>
      </c>
      <c r="R28" s="6">
        <v>2</v>
      </c>
      <c r="S28" s="1">
        <v>10</v>
      </c>
      <c r="T28" s="1">
        <v>10</v>
      </c>
      <c r="U28" s="12">
        <v>0.27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29.67</v>
      </c>
      <c r="F29" s="6">
        <v>29.63</v>
      </c>
      <c r="G29" s="1">
        <v>55.5</v>
      </c>
      <c r="H29" s="1">
        <v>47.7</v>
      </c>
      <c r="I29" s="1">
        <v>45.2</v>
      </c>
      <c r="J29" s="6">
        <v>56.3</v>
      </c>
      <c r="K29" s="5">
        <v>0.37</v>
      </c>
      <c r="L29" s="6">
        <v>0.26700000000000002</v>
      </c>
      <c r="M29" s="1">
        <v>84</v>
      </c>
      <c r="N29" s="6">
        <v>81</v>
      </c>
      <c r="O29" s="1" t="s">
        <v>29</v>
      </c>
      <c r="P29" s="1">
        <v>4</v>
      </c>
      <c r="Q29" s="1" t="s">
        <v>33</v>
      </c>
      <c r="R29" s="6">
        <v>0</v>
      </c>
      <c r="S29" s="1">
        <v>9</v>
      </c>
      <c r="T29" s="1">
        <v>10</v>
      </c>
      <c r="U29" s="12">
        <v>0.52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29.7</v>
      </c>
      <c r="F30" s="6">
        <v>29.87</v>
      </c>
      <c r="G30" s="1">
        <v>49.2</v>
      </c>
      <c r="H30" s="1">
        <v>45</v>
      </c>
      <c r="I30" s="1">
        <v>40.200000000000003</v>
      </c>
      <c r="J30" s="6">
        <v>50.7</v>
      </c>
      <c r="K30" s="5">
        <v>0.23499999999999999</v>
      </c>
      <c r="L30" s="6">
        <v>0.19700000000000001</v>
      </c>
      <c r="M30" s="1">
        <v>67</v>
      </c>
      <c r="N30" s="6">
        <v>66</v>
      </c>
      <c r="O30" s="1" t="s">
        <v>25</v>
      </c>
      <c r="P30" s="1">
        <v>2</v>
      </c>
      <c r="Q30" s="1" t="s">
        <v>26</v>
      </c>
      <c r="R30" s="6">
        <v>2</v>
      </c>
      <c r="S30" s="1">
        <v>8</v>
      </c>
      <c r="T30" s="1">
        <v>7</v>
      </c>
      <c r="U30" s="12">
        <v>0.01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29.89</v>
      </c>
      <c r="F31" s="6">
        <v>29.78</v>
      </c>
      <c r="G31" s="1">
        <v>49</v>
      </c>
      <c r="H31" s="1">
        <v>52</v>
      </c>
      <c r="I31" s="1">
        <v>39.9</v>
      </c>
      <c r="J31" s="6">
        <v>52.8</v>
      </c>
      <c r="K31" s="5">
        <v>0.255</v>
      </c>
      <c r="L31" s="6">
        <v>0.246</v>
      </c>
      <c r="M31" s="1">
        <v>73</v>
      </c>
      <c r="N31" s="6">
        <v>64</v>
      </c>
      <c r="O31" s="1" t="s">
        <v>29</v>
      </c>
      <c r="P31" s="1">
        <v>2</v>
      </c>
      <c r="Q31" s="1" t="s">
        <v>29</v>
      </c>
      <c r="R31" s="6">
        <v>4</v>
      </c>
      <c r="S31" s="1">
        <v>5</v>
      </c>
      <c r="T31" s="1">
        <v>10</v>
      </c>
      <c r="U31" s="12">
        <v>1.1200000000000001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29.6</v>
      </c>
      <c r="F32" s="6">
        <v>29.62</v>
      </c>
      <c r="G32" s="1">
        <v>55</v>
      </c>
      <c r="H32" s="1">
        <v>55</v>
      </c>
      <c r="I32" s="1">
        <v>50</v>
      </c>
      <c r="J32" s="6">
        <v>60.6</v>
      </c>
      <c r="K32" s="5">
        <v>0.40300000000000002</v>
      </c>
      <c r="L32" s="6">
        <v>0.35699999999999998</v>
      </c>
      <c r="M32" s="1">
        <v>93</v>
      </c>
      <c r="N32" s="6">
        <v>83</v>
      </c>
      <c r="O32" s="1" t="s">
        <v>29</v>
      </c>
      <c r="P32" s="1">
        <v>4</v>
      </c>
      <c r="Q32" s="1" t="s">
        <v>29</v>
      </c>
      <c r="R32" s="6">
        <v>1</v>
      </c>
      <c r="S32" s="1">
        <v>10</v>
      </c>
      <c r="T32" s="1">
        <v>10</v>
      </c>
      <c r="U32" s="12">
        <v>0.49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29.72</v>
      </c>
      <c r="F33" s="6">
        <v>29.78</v>
      </c>
      <c r="G33" s="1">
        <v>51</v>
      </c>
      <c r="H33" s="1">
        <v>48.2</v>
      </c>
      <c r="I33" s="1">
        <v>47</v>
      </c>
      <c r="J33" s="6">
        <v>56</v>
      </c>
      <c r="K33" s="5">
        <v>0.29899999999999999</v>
      </c>
      <c r="L33" s="6">
        <v>0.29499999999999998</v>
      </c>
      <c r="M33" s="1">
        <v>80</v>
      </c>
      <c r="N33" s="6">
        <v>89</v>
      </c>
      <c r="O33" s="1" t="s">
        <v>29</v>
      </c>
      <c r="P33" s="1">
        <v>3</v>
      </c>
      <c r="Q33" s="1" t="s">
        <v>25</v>
      </c>
      <c r="R33" s="6">
        <v>5</v>
      </c>
      <c r="S33" s="1">
        <v>10</v>
      </c>
      <c r="T33" s="1">
        <v>10</v>
      </c>
      <c r="U33" s="12">
        <v>0.36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30.08</v>
      </c>
      <c r="F34" s="6">
        <v>30.11</v>
      </c>
      <c r="G34" s="1">
        <v>50</v>
      </c>
      <c r="H34" s="1">
        <v>48.5</v>
      </c>
      <c r="I34" s="1">
        <v>45</v>
      </c>
      <c r="J34" s="6">
        <v>55.9</v>
      </c>
      <c r="K34" s="5">
        <v>0.245</v>
      </c>
      <c r="L34" s="6">
        <v>0.26100000000000001</v>
      </c>
      <c r="M34" s="1">
        <v>68</v>
      </c>
      <c r="N34" s="6">
        <v>77</v>
      </c>
      <c r="O34" s="1" t="s">
        <v>33</v>
      </c>
      <c r="P34" s="1">
        <v>0</v>
      </c>
      <c r="Q34" s="1" t="s">
        <v>29</v>
      </c>
      <c r="R34" s="6">
        <v>2</v>
      </c>
      <c r="S34" s="1">
        <v>9</v>
      </c>
      <c r="T34" s="1">
        <v>8</v>
      </c>
      <c r="U34" s="12">
        <v>0.11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29.97</v>
      </c>
      <c r="F35" s="9">
        <v>29.91</v>
      </c>
      <c r="G35" s="8">
        <v>51</v>
      </c>
      <c r="H35" s="8">
        <v>52.8</v>
      </c>
      <c r="I35" s="8">
        <v>48.5</v>
      </c>
      <c r="J35" s="9">
        <v>57.3</v>
      </c>
      <c r="K35" s="7">
        <v>0.33100000000000002</v>
      </c>
      <c r="L35" s="9">
        <v>0.33500000000000002</v>
      </c>
      <c r="M35" s="8">
        <v>88</v>
      </c>
      <c r="N35" s="9">
        <v>83</v>
      </c>
      <c r="O35" s="8" t="s">
        <v>29</v>
      </c>
      <c r="P35" s="8">
        <v>5</v>
      </c>
      <c r="Q35" s="8" t="s">
        <v>29</v>
      </c>
      <c r="R35" s="9">
        <v>6</v>
      </c>
      <c r="S35" s="8">
        <v>10</v>
      </c>
      <c r="T35" s="8">
        <v>10</v>
      </c>
      <c r="U35" s="12">
        <v>0.24</v>
      </c>
    </row>
    <row r="36" spans="1:21" s="1" customFormat="1">
      <c r="A36" s="14"/>
      <c r="B36" s="15"/>
      <c r="C36" s="15"/>
      <c r="D36" s="16" t="s">
        <v>30</v>
      </c>
      <c r="E36" s="15">
        <v>29.905999999999999</v>
      </c>
      <c r="F36" s="16">
        <v>29.914000000000001</v>
      </c>
      <c r="G36" s="14">
        <v>48.9</v>
      </c>
      <c r="H36" s="15">
        <v>46.8</v>
      </c>
      <c r="I36" s="15">
        <v>42</v>
      </c>
      <c r="J36" s="16">
        <v>53.4</v>
      </c>
      <c r="K36" s="15">
        <v>0.26800000000000002</v>
      </c>
      <c r="L36" s="15">
        <v>0.25900000000000001</v>
      </c>
      <c r="M36" s="14">
        <v>76.400000000000006</v>
      </c>
      <c r="N36" s="16">
        <v>80.3</v>
      </c>
      <c r="O36" s="14" t="s">
        <v>22</v>
      </c>
      <c r="P36" s="15">
        <v>2.7</v>
      </c>
      <c r="Q36" s="15" t="s">
        <v>22</v>
      </c>
      <c r="R36" s="16">
        <v>2.4</v>
      </c>
      <c r="S36" s="14">
        <v>7.8</v>
      </c>
      <c r="T36" s="16">
        <v>7.6</v>
      </c>
      <c r="U36" s="23">
        <v>4.79</v>
      </c>
    </row>
    <row r="37" spans="1:21">
      <c r="U37">
        <f>SUM(U5:U35)</f>
        <v>4.7900000000000009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6"/>
  <sheetViews>
    <sheetView topLeftCell="D21" workbookViewId="0">
      <selection activeCell="G37" sqref="G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30.02</v>
      </c>
      <c r="F5" s="6">
        <v>30.07</v>
      </c>
      <c r="G5" s="1">
        <v>53.4</v>
      </c>
      <c r="H5" s="1">
        <v>42.4</v>
      </c>
      <c r="I5" s="1">
        <v>34.200000000000003</v>
      </c>
      <c r="J5" s="6">
        <v>56.7</v>
      </c>
      <c r="K5" s="5">
        <v>0.26100000000000001</v>
      </c>
      <c r="L5" s="6">
        <v>0.19500000000000001</v>
      </c>
      <c r="M5" s="1">
        <v>64</v>
      </c>
      <c r="N5" s="6">
        <v>72</v>
      </c>
      <c r="O5" s="1" t="s">
        <v>21</v>
      </c>
      <c r="P5" s="1">
        <v>2</v>
      </c>
      <c r="Q5" s="1" t="s">
        <v>24</v>
      </c>
      <c r="R5" s="6">
        <v>2</v>
      </c>
      <c r="S5" s="1">
        <v>0</v>
      </c>
      <c r="T5" s="1">
        <v>10</v>
      </c>
      <c r="U5" s="12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30.04</v>
      </c>
      <c r="F6" s="6">
        <v>29.93</v>
      </c>
      <c r="G6" s="1">
        <v>42.4</v>
      </c>
      <c r="H6" s="1">
        <v>44.4</v>
      </c>
      <c r="I6" s="1">
        <v>37.299999999999997</v>
      </c>
      <c r="J6" s="6">
        <v>48.7</v>
      </c>
      <c r="K6" s="5">
        <v>0.21199999999999999</v>
      </c>
      <c r="L6" s="6">
        <v>0.21099999999999999</v>
      </c>
      <c r="M6" s="1">
        <v>79</v>
      </c>
      <c r="N6" s="6">
        <v>72</v>
      </c>
      <c r="O6" s="1" t="s">
        <v>24</v>
      </c>
      <c r="P6" s="1">
        <v>6</v>
      </c>
      <c r="Q6" s="1" t="s">
        <v>27</v>
      </c>
      <c r="R6" s="6">
        <v>6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29.93</v>
      </c>
      <c r="F7" s="6">
        <v>30.01</v>
      </c>
      <c r="G7" s="1">
        <v>39.4</v>
      </c>
      <c r="H7" s="1">
        <v>36.4</v>
      </c>
      <c r="I7" s="1">
        <v>35.200000000000003</v>
      </c>
      <c r="J7" s="6">
        <v>46.7</v>
      </c>
      <c r="K7" s="5">
        <v>0.186</v>
      </c>
      <c r="L7" s="6">
        <v>0.2</v>
      </c>
      <c r="M7" s="1">
        <v>78</v>
      </c>
      <c r="N7" s="6">
        <v>93</v>
      </c>
      <c r="O7" s="1" t="s">
        <v>24</v>
      </c>
      <c r="P7" s="1">
        <v>8</v>
      </c>
      <c r="Q7" s="1" t="s">
        <v>24</v>
      </c>
      <c r="R7" s="6">
        <v>1</v>
      </c>
      <c r="S7" s="1">
        <v>10</v>
      </c>
      <c r="T7" s="1">
        <v>10</v>
      </c>
      <c r="U7" s="12">
        <v>0.1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30.02</v>
      </c>
      <c r="F8" s="6">
        <v>30.07</v>
      </c>
      <c r="G8" s="1">
        <v>42.4</v>
      </c>
      <c r="H8" s="1">
        <v>39.4</v>
      </c>
      <c r="I8" s="1">
        <v>35.200000000000003</v>
      </c>
      <c r="J8" s="6">
        <v>44.8</v>
      </c>
      <c r="K8" s="5">
        <v>0.21199999999999999</v>
      </c>
      <c r="L8" s="6">
        <v>0.20499999999999999</v>
      </c>
      <c r="M8" s="1">
        <v>79</v>
      </c>
      <c r="N8" s="6">
        <v>85</v>
      </c>
      <c r="O8" s="1" t="s">
        <v>24</v>
      </c>
      <c r="P8" s="1">
        <v>6</v>
      </c>
      <c r="Q8" s="1" t="s">
        <v>23</v>
      </c>
      <c r="R8" s="6">
        <v>1</v>
      </c>
      <c r="S8" s="1">
        <v>10</v>
      </c>
      <c r="T8" s="1">
        <v>10</v>
      </c>
      <c r="U8" s="12">
        <v>0.15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30.05</v>
      </c>
      <c r="F9" s="6">
        <v>30.11</v>
      </c>
      <c r="G9" s="1">
        <v>38.4</v>
      </c>
      <c r="H9" s="1">
        <v>39.4</v>
      </c>
      <c r="I9" s="1">
        <v>36.200000000000003</v>
      </c>
      <c r="J9" s="6">
        <v>45.7</v>
      </c>
      <c r="K9" s="5">
        <v>0.214</v>
      </c>
      <c r="L9" s="6">
        <v>0.224</v>
      </c>
      <c r="M9" s="1">
        <v>93</v>
      </c>
      <c r="N9" s="6">
        <v>93</v>
      </c>
      <c r="O9" s="1" t="s">
        <v>25</v>
      </c>
      <c r="P9" s="1">
        <v>1</v>
      </c>
      <c r="Q9" s="1" t="s">
        <v>24</v>
      </c>
      <c r="R9" s="6">
        <v>1</v>
      </c>
      <c r="S9" s="1">
        <v>10</v>
      </c>
      <c r="T9" s="1">
        <v>10</v>
      </c>
      <c r="U9" s="12">
        <v>0.05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30.13</v>
      </c>
      <c r="F10" s="6">
        <v>30.04</v>
      </c>
      <c r="G10" s="1">
        <v>45.4</v>
      </c>
      <c r="H10" s="1">
        <v>42.4</v>
      </c>
      <c r="I10" s="1">
        <v>34.200000000000003</v>
      </c>
      <c r="J10" s="6">
        <v>56.7</v>
      </c>
      <c r="K10" s="5">
        <v>0.24</v>
      </c>
      <c r="L10" s="6">
        <v>0.23100000000000001</v>
      </c>
      <c r="M10" s="1">
        <v>80</v>
      </c>
      <c r="N10" s="6">
        <v>86</v>
      </c>
      <c r="O10" s="1" t="s">
        <v>26</v>
      </c>
      <c r="P10" s="1">
        <v>1</v>
      </c>
      <c r="Q10" s="1" t="s">
        <v>23</v>
      </c>
      <c r="R10" s="6">
        <v>1</v>
      </c>
      <c r="S10" s="1">
        <v>5</v>
      </c>
      <c r="T10" s="1">
        <v>10</v>
      </c>
      <c r="U10" s="12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29.85</v>
      </c>
      <c r="F11" s="6">
        <v>29.84</v>
      </c>
      <c r="G11" s="1">
        <v>46.4</v>
      </c>
      <c r="H11" s="1">
        <v>38.4</v>
      </c>
      <c r="I11" s="1">
        <v>38.299999999999997</v>
      </c>
      <c r="J11" s="6">
        <v>52.7</v>
      </c>
      <c r="K11" s="5">
        <v>0.23100000000000001</v>
      </c>
      <c r="L11" s="6">
        <v>0.19500000000000001</v>
      </c>
      <c r="M11" s="1">
        <v>74</v>
      </c>
      <c r="N11" s="6">
        <v>85</v>
      </c>
      <c r="O11" s="1" t="s">
        <v>29</v>
      </c>
      <c r="P11" s="1">
        <v>1</v>
      </c>
      <c r="Q11" s="1" t="s">
        <v>24</v>
      </c>
      <c r="R11" s="6">
        <v>6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29.78</v>
      </c>
      <c r="F12" s="6">
        <v>29.77</v>
      </c>
      <c r="G12" s="1">
        <v>39.4</v>
      </c>
      <c r="H12" s="1">
        <v>35.5</v>
      </c>
      <c r="I12" s="1">
        <v>35.200000000000003</v>
      </c>
      <c r="J12" s="6">
        <v>43.8</v>
      </c>
      <c r="K12" s="5">
        <v>0.186</v>
      </c>
      <c r="L12" s="6">
        <v>0.155</v>
      </c>
      <c r="M12" s="1">
        <v>78</v>
      </c>
      <c r="N12" s="6">
        <v>74</v>
      </c>
      <c r="O12" s="1" t="s">
        <v>24</v>
      </c>
      <c r="P12" s="1">
        <v>8</v>
      </c>
      <c r="Q12" s="1" t="s">
        <v>24</v>
      </c>
      <c r="R12" s="6">
        <v>6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29.69</v>
      </c>
      <c r="F13" s="6">
        <v>29.74</v>
      </c>
      <c r="G13" s="1">
        <v>41.4</v>
      </c>
      <c r="H13" s="1">
        <v>37.4</v>
      </c>
      <c r="I13" s="1">
        <v>34.200000000000003</v>
      </c>
      <c r="J13" s="6">
        <v>45.7</v>
      </c>
      <c r="K13" s="5">
        <v>0.17</v>
      </c>
      <c r="L13" s="6">
        <v>0.17199999999999999</v>
      </c>
      <c r="M13" s="1">
        <v>65</v>
      </c>
      <c r="N13" s="6">
        <v>77</v>
      </c>
      <c r="O13" s="1" t="s">
        <v>24</v>
      </c>
      <c r="P13" s="1">
        <v>8</v>
      </c>
      <c r="Q13" s="1" t="s">
        <v>24</v>
      </c>
      <c r="R13" s="6">
        <v>2</v>
      </c>
      <c r="S13" s="1">
        <v>5</v>
      </c>
      <c r="T13" s="1">
        <v>10</v>
      </c>
      <c r="U13" s="12">
        <v>0.05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29.59</v>
      </c>
      <c r="F14" s="6">
        <v>29.49</v>
      </c>
      <c r="G14" s="1">
        <v>42.4</v>
      </c>
      <c r="H14" s="1">
        <v>41.4</v>
      </c>
      <c r="I14" s="1">
        <v>35.200000000000003</v>
      </c>
      <c r="J14" s="6">
        <v>45.7</v>
      </c>
      <c r="K14" s="5">
        <v>0.21199999999999999</v>
      </c>
      <c r="L14" s="6">
        <v>0.186</v>
      </c>
      <c r="M14" s="1">
        <v>79</v>
      </c>
      <c r="N14" s="6">
        <v>72</v>
      </c>
      <c r="O14" s="1" t="s">
        <v>28</v>
      </c>
      <c r="P14" s="1">
        <v>6</v>
      </c>
      <c r="Q14" s="1" t="s">
        <v>27</v>
      </c>
      <c r="R14" s="6">
        <v>6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29.48</v>
      </c>
      <c r="F15" s="6">
        <v>29.65</v>
      </c>
      <c r="G15" s="1">
        <v>47.4</v>
      </c>
      <c r="H15" s="1">
        <v>41.4</v>
      </c>
      <c r="I15" s="1">
        <v>37.299999999999997</v>
      </c>
      <c r="J15" s="6">
        <v>53.7</v>
      </c>
      <c r="K15" s="5">
        <v>0.20300000000000001</v>
      </c>
      <c r="L15" s="6">
        <v>0.221</v>
      </c>
      <c r="M15" s="1">
        <v>62</v>
      </c>
      <c r="N15" s="6">
        <v>86</v>
      </c>
      <c r="O15" s="1" t="s">
        <v>26</v>
      </c>
      <c r="P15" s="1">
        <v>8</v>
      </c>
      <c r="Q15" s="1" t="s">
        <v>26</v>
      </c>
      <c r="R15" s="6">
        <v>2</v>
      </c>
      <c r="S15" s="1">
        <v>5</v>
      </c>
      <c r="T15" s="1">
        <v>7</v>
      </c>
      <c r="U15" s="12">
        <v>0.05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29.49</v>
      </c>
      <c r="F16" s="6">
        <v>29.5</v>
      </c>
      <c r="G16" s="1">
        <v>40.4</v>
      </c>
      <c r="H16" s="1">
        <v>48.4</v>
      </c>
      <c r="I16" s="1">
        <v>32.200000000000003</v>
      </c>
      <c r="J16" s="6">
        <v>56.7</v>
      </c>
      <c r="K16" s="5">
        <v>0.23200000000000001</v>
      </c>
      <c r="L16" s="6">
        <v>0.29099999999999998</v>
      </c>
      <c r="M16" s="1">
        <v>93</v>
      </c>
      <c r="N16" s="6">
        <v>86</v>
      </c>
      <c r="O16" s="1" t="s">
        <v>21</v>
      </c>
      <c r="P16" s="1">
        <v>4</v>
      </c>
      <c r="Q16" s="1" t="s">
        <v>25</v>
      </c>
      <c r="R16" s="6">
        <v>2</v>
      </c>
      <c r="S16" s="1">
        <v>10</v>
      </c>
      <c r="T16" s="1">
        <v>7</v>
      </c>
      <c r="U16" s="12">
        <v>0.05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29.58</v>
      </c>
      <c r="F17" s="6">
        <v>29.62</v>
      </c>
      <c r="G17" s="1">
        <v>57.5</v>
      </c>
      <c r="H17" s="1">
        <v>49.4</v>
      </c>
      <c r="I17" s="1">
        <v>48.2</v>
      </c>
      <c r="J17" s="6">
        <v>58.7</v>
      </c>
      <c r="K17" s="5">
        <v>0.33300000000000002</v>
      </c>
      <c r="L17" s="6">
        <v>0.28000000000000003</v>
      </c>
      <c r="M17" s="1">
        <v>70</v>
      </c>
      <c r="N17" s="6">
        <v>80</v>
      </c>
      <c r="O17" s="1" t="s">
        <v>25</v>
      </c>
      <c r="P17" s="1">
        <v>2</v>
      </c>
      <c r="Q17" s="1" t="s">
        <v>25</v>
      </c>
      <c r="R17" s="6">
        <v>6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29.71</v>
      </c>
      <c r="F18" s="6">
        <v>29.84</v>
      </c>
      <c r="G18" s="1">
        <v>55.4</v>
      </c>
      <c r="H18" s="1">
        <v>51.4</v>
      </c>
      <c r="I18" s="1">
        <v>45.3</v>
      </c>
      <c r="J18" s="6">
        <v>61.7</v>
      </c>
      <c r="K18" s="5">
        <v>0.308</v>
      </c>
      <c r="L18" s="6">
        <v>0.28100000000000003</v>
      </c>
      <c r="M18" s="1">
        <v>70</v>
      </c>
      <c r="N18" s="6">
        <v>74</v>
      </c>
      <c r="O18" s="1" t="s">
        <v>25</v>
      </c>
      <c r="P18" s="1">
        <v>4</v>
      </c>
      <c r="Q18" s="1" t="s">
        <v>25</v>
      </c>
      <c r="R18" s="6">
        <v>2</v>
      </c>
      <c r="S18" s="1">
        <v>5</v>
      </c>
      <c r="T18" s="1">
        <v>7</v>
      </c>
      <c r="U18" s="12" t="s">
        <v>22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30.06</v>
      </c>
      <c r="F19" s="6">
        <v>30.24</v>
      </c>
      <c r="G19" s="1">
        <v>57.5</v>
      </c>
      <c r="H19" s="1">
        <v>51.4</v>
      </c>
      <c r="I19" s="1">
        <v>41.5</v>
      </c>
      <c r="J19" s="6">
        <v>64.7</v>
      </c>
      <c r="K19" s="5">
        <v>0.28699999999999998</v>
      </c>
      <c r="L19" s="6">
        <v>0.28100000000000003</v>
      </c>
      <c r="M19" s="1">
        <v>61</v>
      </c>
      <c r="N19" s="6">
        <v>74</v>
      </c>
      <c r="O19" s="1" t="s">
        <v>21</v>
      </c>
      <c r="P19" s="1">
        <v>2</v>
      </c>
      <c r="Q19" s="1" t="s">
        <v>25</v>
      </c>
      <c r="R19" s="6">
        <v>1</v>
      </c>
      <c r="S19" s="1">
        <v>5</v>
      </c>
      <c r="T19" s="1">
        <v>7</v>
      </c>
      <c r="U19" s="12" t="s">
        <v>22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30.36</v>
      </c>
      <c r="F20" s="6">
        <v>30.43</v>
      </c>
      <c r="G20" s="1">
        <v>54.4</v>
      </c>
      <c r="H20" s="1">
        <v>45.4</v>
      </c>
      <c r="I20" s="1">
        <v>41.3</v>
      </c>
      <c r="J20" s="6">
        <v>64.7</v>
      </c>
      <c r="K20" s="5">
        <v>0.253</v>
      </c>
      <c r="L20" s="6">
        <v>0.28299999999999997</v>
      </c>
      <c r="M20" s="1">
        <v>60</v>
      </c>
      <c r="N20" s="6">
        <v>94</v>
      </c>
      <c r="O20" s="1" t="s">
        <v>27</v>
      </c>
      <c r="P20" s="1">
        <v>4</v>
      </c>
      <c r="Q20" s="1" t="s">
        <v>23</v>
      </c>
      <c r="R20" s="6">
        <v>1</v>
      </c>
      <c r="S20" s="1">
        <v>5</v>
      </c>
      <c r="T20" s="1">
        <v>10</v>
      </c>
      <c r="U20" s="12" t="s">
        <v>22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30.34</v>
      </c>
      <c r="F21" s="6">
        <v>30.31</v>
      </c>
      <c r="G21" s="1">
        <v>50.4</v>
      </c>
      <c r="H21" s="1">
        <v>47.4</v>
      </c>
      <c r="I21" s="1">
        <v>39.299999999999997</v>
      </c>
      <c r="J21" s="6">
        <v>60.7</v>
      </c>
      <c r="K21" s="5">
        <v>0.26900000000000002</v>
      </c>
      <c r="L21" s="6">
        <v>0.30299999999999999</v>
      </c>
      <c r="M21" s="1">
        <v>74</v>
      </c>
      <c r="N21" s="6">
        <v>93</v>
      </c>
      <c r="O21" s="1" t="s">
        <v>27</v>
      </c>
      <c r="P21" s="1">
        <v>2</v>
      </c>
      <c r="Q21" s="1" t="s">
        <v>21</v>
      </c>
      <c r="R21" s="6">
        <v>1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30.15</v>
      </c>
      <c r="F22" s="6">
        <v>29.89</v>
      </c>
      <c r="G22" s="1">
        <v>51.4</v>
      </c>
      <c r="H22" s="1">
        <v>49.4</v>
      </c>
      <c r="I22" s="1">
        <v>43.3</v>
      </c>
      <c r="J22" s="6">
        <v>54.7</v>
      </c>
      <c r="K22" s="5">
        <v>0.224</v>
      </c>
      <c r="L22" s="6">
        <v>0.26200000000000001</v>
      </c>
      <c r="M22" s="1">
        <v>59</v>
      </c>
      <c r="N22" s="6">
        <v>74</v>
      </c>
      <c r="O22" s="1" t="s">
        <v>26</v>
      </c>
      <c r="P22" s="1">
        <v>4</v>
      </c>
      <c r="Q22" s="1" t="s">
        <v>26</v>
      </c>
      <c r="R22" s="6">
        <v>4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29.95</v>
      </c>
      <c r="F23" s="6">
        <v>30</v>
      </c>
      <c r="G23" s="1">
        <v>50.4</v>
      </c>
      <c r="H23" s="1">
        <v>44.4</v>
      </c>
      <c r="I23" s="1">
        <v>43.3</v>
      </c>
      <c r="J23" s="6">
        <v>56.7</v>
      </c>
      <c r="K23" s="5">
        <v>0.214</v>
      </c>
      <c r="L23" s="6">
        <v>0.25</v>
      </c>
      <c r="M23" s="1">
        <v>59</v>
      </c>
      <c r="N23" s="6">
        <v>86</v>
      </c>
      <c r="O23" s="1" t="s">
        <v>27</v>
      </c>
      <c r="P23" s="1">
        <v>4</v>
      </c>
      <c r="Q23" s="1" t="s">
        <v>21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30.05</v>
      </c>
      <c r="F24" s="6">
        <v>30.09</v>
      </c>
      <c r="G24" s="1">
        <v>52.4</v>
      </c>
      <c r="H24" s="1">
        <v>42.4</v>
      </c>
      <c r="I24" s="1">
        <v>41.3</v>
      </c>
      <c r="J24" s="6">
        <v>55.7</v>
      </c>
      <c r="K24" s="5">
        <v>0.23400000000000001</v>
      </c>
      <c r="L24" s="6">
        <v>0.252</v>
      </c>
      <c r="M24" s="1">
        <v>60</v>
      </c>
      <c r="N24" s="6">
        <v>93</v>
      </c>
      <c r="O24" s="1" t="s">
        <v>21</v>
      </c>
      <c r="P24" s="1">
        <v>1</v>
      </c>
      <c r="Q24" s="1" t="s">
        <v>21</v>
      </c>
      <c r="R24" s="6">
        <v>2</v>
      </c>
      <c r="S24" s="1">
        <v>10</v>
      </c>
      <c r="T24" s="1">
        <v>7</v>
      </c>
      <c r="U24" s="12" t="s">
        <v>22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30.07</v>
      </c>
      <c r="F25" s="6">
        <v>30.03</v>
      </c>
      <c r="G25" s="1">
        <v>52.4</v>
      </c>
      <c r="H25" s="1">
        <v>55.4</v>
      </c>
      <c r="I25" s="1">
        <v>40.299999999999997</v>
      </c>
      <c r="J25" s="6">
        <v>67.7</v>
      </c>
      <c r="K25" s="5">
        <v>0.29199999999999998</v>
      </c>
      <c r="L25" s="6">
        <v>0.41</v>
      </c>
      <c r="M25" s="1">
        <v>74</v>
      </c>
      <c r="N25" s="6">
        <v>93</v>
      </c>
      <c r="O25" s="1" t="s">
        <v>25</v>
      </c>
      <c r="P25" s="1">
        <v>1</v>
      </c>
      <c r="Q25" s="1" t="s">
        <v>26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29.97</v>
      </c>
      <c r="F26" s="6">
        <v>30</v>
      </c>
      <c r="G26" s="1">
        <v>57.5</v>
      </c>
      <c r="H26" s="1">
        <v>51.4</v>
      </c>
      <c r="I26" s="1">
        <v>47.2</v>
      </c>
      <c r="J26" s="6">
        <v>59.7</v>
      </c>
      <c r="K26" s="5">
        <v>0.309</v>
      </c>
      <c r="L26" s="6">
        <v>0.24199999999999999</v>
      </c>
      <c r="M26" s="1">
        <v>65</v>
      </c>
      <c r="N26" s="6">
        <v>64</v>
      </c>
      <c r="O26" s="1" t="s">
        <v>26</v>
      </c>
      <c r="P26" s="1">
        <v>6</v>
      </c>
      <c r="Q26" s="1" t="s">
        <v>26</v>
      </c>
      <c r="R26" s="6">
        <v>6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29.91</v>
      </c>
      <c r="F27" s="6">
        <v>29.89</v>
      </c>
      <c r="G27" s="1">
        <v>56.5</v>
      </c>
      <c r="H27" s="1">
        <v>50.4</v>
      </c>
      <c r="I27" s="1">
        <v>47.2</v>
      </c>
      <c r="J27" s="6">
        <v>62.7</v>
      </c>
      <c r="K27" s="5">
        <v>0.32</v>
      </c>
      <c r="L27" s="6">
        <v>0.315</v>
      </c>
      <c r="M27" s="1">
        <v>70</v>
      </c>
      <c r="N27" s="6">
        <v>86</v>
      </c>
      <c r="O27" s="1" t="s">
        <v>25</v>
      </c>
      <c r="P27" s="1">
        <v>8</v>
      </c>
      <c r="Q27" s="1" t="s">
        <v>25</v>
      </c>
      <c r="R27" s="6">
        <v>6</v>
      </c>
      <c r="S27" s="1">
        <v>5</v>
      </c>
      <c r="T27" s="1">
        <v>10</v>
      </c>
      <c r="U27" s="12" t="s">
        <v>22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29.86</v>
      </c>
      <c r="F28" s="6">
        <v>29.83</v>
      </c>
      <c r="G28" s="1">
        <v>58.5</v>
      </c>
      <c r="H28" s="1">
        <v>55.4</v>
      </c>
      <c r="I28" s="1">
        <v>48.2</v>
      </c>
      <c r="J28" s="6">
        <v>65.7</v>
      </c>
      <c r="K28" s="5">
        <v>0.34599999999999997</v>
      </c>
      <c r="L28" s="6">
        <v>0.33100000000000002</v>
      </c>
      <c r="M28" s="1">
        <v>71</v>
      </c>
      <c r="N28" s="6">
        <v>75</v>
      </c>
      <c r="O28" s="1" t="s">
        <v>25</v>
      </c>
      <c r="P28" s="1">
        <v>8</v>
      </c>
      <c r="Q28" s="1" t="s">
        <v>25</v>
      </c>
      <c r="R28" s="6">
        <v>4</v>
      </c>
      <c r="S28" s="1">
        <v>5</v>
      </c>
      <c r="T28" s="1">
        <v>10</v>
      </c>
      <c r="U28" s="12" t="s">
        <v>22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29.76</v>
      </c>
      <c r="F29" s="6">
        <v>29.63</v>
      </c>
      <c r="G29" s="1">
        <v>62.5</v>
      </c>
      <c r="H29" s="1">
        <v>55.4</v>
      </c>
      <c r="I29" s="1">
        <v>51.2</v>
      </c>
      <c r="J29" s="6">
        <v>66.7</v>
      </c>
      <c r="K29" s="5">
        <v>0.35199999999999998</v>
      </c>
      <c r="L29" s="6">
        <v>0.308</v>
      </c>
      <c r="M29" s="1">
        <v>63</v>
      </c>
      <c r="N29" s="6">
        <v>70</v>
      </c>
      <c r="O29" s="1" t="s">
        <v>25</v>
      </c>
      <c r="P29" s="1">
        <v>4</v>
      </c>
      <c r="Q29" s="1" t="s">
        <v>26</v>
      </c>
      <c r="R29" s="6">
        <v>2</v>
      </c>
      <c r="S29" s="1">
        <v>10</v>
      </c>
      <c r="T29" s="1">
        <v>10</v>
      </c>
      <c r="U29" s="12" t="s">
        <v>22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29.65</v>
      </c>
      <c r="F30" s="6">
        <v>29.77</v>
      </c>
      <c r="G30" s="1">
        <v>51.4</v>
      </c>
      <c r="H30" s="1">
        <v>46.4</v>
      </c>
      <c r="I30" s="1">
        <v>46.3</v>
      </c>
      <c r="J30" s="6">
        <v>57.7</v>
      </c>
      <c r="K30" s="5">
        <v>0.25900000000000001</v>
      </c>
      <c r="L30" s="6">
        <v>0.27100000000000002</v>
      </c>
      <c r="M30" s="1">
        <v>68</v>
      </c>
      <c r="N30" s="6">
        <v>87</v>
      </c>
      <c r="O30" s="1" t="s">
        <v>27</v>
      </c>
      <c r="P30" s="1">
        <v>1</v>
      </c>
      <c r="Q30" s="1" t="s">
        <v>24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29.89</v>
      </c>
      <c r="F31" s="6">
        <v>29.85</v>
      </c>
      <c r="G31" s="1">
        <v>56.5</v>
      </c>
      <c r="H31" s="1">
        <v>50.4</v>
      </c>
      <c r="I31" s="1">
        <v>41.3</v>
      </c>
      <c r="J31" s="6">
        <v>63.7</v>
      </c>
      <c r="K31" s="5">
        <v>0.25700000000000001</v>
      </c>
      <c r="L31" s="6">
        <v>0.251</v>
      </c>
      <c r="M31" s="1">
        <v>57</v>
      </c>
      <c r="N31" s="6">
        <v>69</v>
      </c>
      <c r="O31" s="1" t="s">
        <v>25</v>
      </c>
      <c r="P31" s="1">
        <v>2</v>
      </c>
      <c r="Q31" s="1" t="s">
        <v>21</v>
      </c>
      <c r="R31" s="6">
        <v>2</v>
      </c>
      <c r="S31" s="1">
        <v>7</v>
      </c>
      <c r="T31" s="1">
        <v>10</v>
      </c>
      <c r="U31" s="12">
        <v>0.15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29.69</v>
      </c>
      <c r="F32" s="6">
        <v>29.72</v>
      </c>
      <c r="G32" s="1">
        <v>52.4</v>
      </c>
      <c r="H32" s="1">
        <v>52.4</v>
      </c>
      <c r="I32" s="1">
        <v>48.2</v>
      </c>
      <c r="J32" s="6">
        <v>59.7</v>
      </c>
      <c r="K32" s="5">
        <v>0.36599999999999999</v>
      </c>
      <c r="L32" s="6">
        <v>0.39400000000000002</v>
      </c>
      <c r="M32" s="1">
        <v>93</v>
      </c>
      <c r="N32" s="6">
        <v>100</v>
      </c>
      <c r="O32" s="1" t="s">
        <v>25</v>
      </c>
      <c r="P32" s="1">
        <v>4</v>
      </c>
      <c r="Q32" s="1" t="s">
        <v>25</v>
      </c>
      <c r="R32" s="6">
        <v>2</v>
      </c>
      <c r="S32" s="1">
        <v>10</v>
      </c>
      <c r="T32" s="1">
        <v>10</v>
      </c>
      <c r="U32" s="12">
        <v>0.15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29.72</v>
      </c>
      <c r="F33" s="6">
        <v>29.84</v>
      </c>
      <c r="G33" s="1">
        <v>54.4</v>
      </c>
      <c r="H33" s="1">
        <v>49.4</v>
      </c>
      <c r="I33" s="1">
        <v>48.2</v>
      </c>
      <c r="J33" s="6">
        <v>61.7</v>
      </c>
      <c r="K33" s="5">
        <v>0.316</v>
      </c>
      <c r="L33" s="6">
        <v>0.26200000000000001</v>
      </c>
      <c r="M33" s="1">
        <v>74</v>
      </c>
      <c r="N33" s="6">
        <v>74</v>
      </c>
      <c r="O33" s="1" t="s">
        <v>25</v>
      </c>
      <c r="P33" s="1">
        <v>2</v>
      </c>
      <c r="Q33" s="1" t="s">
        <v>25</v>
      </c>
      <c r="R33" s="6">
        <v>6</v>
      </c>
      <c r="S33" s="1">
        <v>5</v>
      </c>
      <c r="T33" s="1">
        <v>10</v>
      </c>
      <c r="U33" s="12" t="s">
        <v>22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30.06</v>
      </c>
      <c r="F34" s="6">
        <v>30.16</v>
      </c>
      <c r="G34" s="1">
        <v>51.4</v>
      </c>
      <c r="H34" s="1">
        <v>50.4</v>
      </c>
      <c r="I34" s="1">
        <v>46.3</v>
      </c>
      <c r="J34" s="6">
        <v>63.7</v>
      </c>
      <c r="K34" s="5">
        <v>0.25900000000000001</v>
      </c>
      <c r="L34" s="6">
        <v>0.26900000000000002</v>
      </c>
      <c r="M34" s="1">
        <v>68</v>
      </c>
      <c r="N34" s="6">
        <v>74</v>
      </c>
      <c r="O34" s="1" t="s">
        <v>27</v>
      </c>
      <c r="P34" s="1">
        <v>1</v>
      </c>
      <c r="Q34" s="1" t="s">
        <v>27</v>
      </c>
      <c r="R34" s="6">
        <v>1</v>
      </c>
      <c r="S34" s="1">
        <v>10</v>
      </c>
      <c r="T34" s="1">
        <v>0</v>
      </c>
      <c r="U34" s="12" t="s">
        <v>22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30.1</v>
      </c>
      <c r="F35" s="9">
        <v>30.01</v>
      </c>
      <c r="G35" s="8">
        <v>48.4</v>
      </c>
      <c r="H35" s="8">
        <v>52.4</v>
      </c>
      <c r="I35" s="8">
        <v>40.299999999999997</v>
      </c>
      <c r="J35" s="9">
        <v>56.7</v>
      </c>
      <c r="K35" s="7">
        <v>0.29099999999999998</v>
      </c>
      <c r="L35" s="9">
        <v>0.36599999999999999</v>
      </c>
      <c r="M35" s="8">
        <v>86</v>
      </c>
      <c r="N35" s="9">
        <v>93</v>
      </c>
      <c r="O35" s="8" t="s">
        <v>21</v>
      </c>
      <c r="P35" s="8">
        <v>1</v>
      </c>
      <c r="Q35" s="8" t="s">
        <v>29</v>
      </c>
      <c r="R35" s="9">
        <v>1</v>
      </c>
      <c r="S35" s="8">
        <v>10</v>
      </c>
      <c r="T35" s="8">
        <v>10</v>
      </c>
      <c r="U35" s="13">
        <v>0.1</v>
      </c>
    </row>
    <row r="36" spans="1:21" s="1" customFormat="1">
      <c r="A36" s="14"/>
      <c r="B36" s="15"/>
      <c r="C36" s="15"/>
      <c r="D36" s="16" t="s">
        <v>30</v>
      </c>
      <c r="E36" s="15">
        <v>29.902000000000001</v>
      </c>
      <c r="F36" s="16">
        <v>29.914999999999999</v>
      </c>
      <c r="G36" s="14">
        <v>50</v>
      </c>
      <c r="H36" s="15">
        <v>46.4</v>
      </c>
      <c r="I36" s="15">
        <v>41.1</v>
      </c>
      <c r="J36" s="16">
        <v>56.8</v>
      </c>
      <c r="K36" s="15">
        <v>0.26</v>
      </c>
      <c r="L36" s="15">
        <v>0.26100000000000001</v>
      </c>
      <c r="M36" s="14">
        <v>71.8</v>
      </c>
      <c r="N36" s="16">
        <v>81.7</v>
      </c>
      <c r="O36" s="14" t="s">
        <v>22</v>
      </c>
      <c r="P36" s="15">
        <v>3.9</v>
      </c>
      <c r="Q36" s="15" t="s">
        <v>22</v>
      </c>
      <c r="R36" s="16">
        <v>2.8</v>
      </c>
      <c r="S36" s="14">
        <v>8.1</v>
      </c>
      <c r="T36" s="16">
        <v>9.1999999999999993</v>
      </c>
      <c r="U36" s="17">
        <v>0.85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6"/>
  <sheetViews>
    <sheetView topLeftCell="A26" workbookViewId="0">
      <selection activeCell="G39" sqref="G39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30.02</v>
      </c>
      <c r="F5" s="6">
        <v>30.06</v>
      </c>
      <c r="G5" s="1">
        <v>51</v>
      </c>
      <c r="H5" s="1">
        <v>47</v>
      </c>
      <c r="I5" s="1">
        <v>38.1</v>
      </c>
      <c r="J5" s="6">
        <v>62.4</v>
      </c>
      <c r="K5" s="5">
        <v>0.27</v>
      </c>
      <c r="L5" s="6">
        <v>0.28000000000000003</v>
      </c>
      <c r="M5" s="1">
        <v>72</v>
      </c>
      <c r="N5" s="6">
        <v>87</v>
      </c>
      <c r="O5" s="1" t="s">
        <v>24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30.09</v>
      </c>
      <c r="F6" s="6">
        <v>30</v>
      </c>
      <c r="G6" s="1">
        <v>46.9</v>
      </c>
      <c r="H6" s="1">
        <v>44.4</v>
      </c>
      <c r="I6" s="1">
        <v>37.1</v>
      </c>
      <c r="J6" s="6">
        <v>56</v>
      </c>
      <c r="K6" s="5">
        <v>0.22800000000000001</v>
      </c>
      <c r="L6" s="6">
        <v>0.27600000000000002</v>
      </c>
      <c r="M6" s="1">
        <v>72</v>
      </c>
      <c r="N6" s="6">
        <v>95</v>
      </c>
      <c r="O6" s="1" t="s">
        <v>28</v>
      </c>
      <c r="P6" s="1" t="s">
        <v>22</v>
      </c>
      <c r="Q6" s="1" t="s">
        <v>28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29.94</v>
      </c>
      <c r="F7" s="6">
        <v>30.03</v>
      </c>
      <c r="G7" s="1">
        <v>45.9</v>
      </c>
      <c r="H7" s="1">
        <v>41.1</v>
      </c>
      <c r="I7" s="1">
        <v>39.1</v>
      </c>
      <c r="J7" s="6">
        <v>48.9</v>
      </c>
      <c r="K7" s="5">
        <v>0.217</v>
      </c>
      <c r="L7" s="6">
        <v>0.19800000000000001</v>
      </c>
      <c r="M7" s="1">
        <v>71</v>
      </c>
      <c r="N7" s="6">
        <v>77</v>
      </c>
      <c r="O7" s="1" t="s">
        <v>24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30.05</v>
      </c>
      <c r="F8" s="6">
        <v>30.09</v>
      </c>
      <c r="G8" s="1">
        <v>46.1</v>
      </c>
      <c r="H8" s="1">
        <v>41.1</v>
      </c>
      <c r="I8" s="1">
        <v>36.200000000000003</v>
      </c>
      <c r="J8" s="6">
        <v>49.4</v>
      </c>
      <c r="K8" s="5">
        <v>0.21299999999999999</v>
      </c>
      <c r="L8" s="6">
        <v>0.216</v>
      </c>
      <c r="M8" s="1">
        <v>68</v>
      </c>
      <c r="N8" s="6">
        <v>84</v>
      </c>
      <c r="O8" s="1" t="s">
        <v>35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>
        <v>7.4999999999999997E-2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30.08</v>
      </c>
      <c r="F9" s="6">
        <v>30.09</v>
      </c>
      <c r="G9" s="1">
        <v>41.7</v>
      </c>
      <c r="H9" s="1">
        <v>43.6</v>
      </c>
      <c r="I9" s="1">
        <v>37.1</v>
      </c>
      <c r="J9" s="6">
        <v>49.9</v>
      </c>
      <c r="K9" s="5">
        <v>0.253</v>
      </c>
      <c r="L9" s="6">
        <v>0.23200000000000001</v>
      </c>
      <c r="M9" s="1">
        <v>96</v>
      </c>
      <c r="N9" s="6">
        <v>81</v>
      </c>
      <c r="O9" s="1" t="s">
        <v>21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12">
        <v>0.06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30.14</v>
      </c>
      <c r="F10" s="6">
        <v>30.05</v>
      </c>
      <c r="G10" s="1">
        <v>47.3</v>
      </c>
      <c r="H10" s="1">
        <v>45.4</v>
      </c>
      <c r="I10" s="1">
        <v>35.200000000000003</v>
      </c>
      <c r="J10" s="6">
        <v>58.3</v>
      </c>
      <c r="K10" s="5">
        <v>0.246</v>
      </c>
      <c r="L10" s="6">
        <v>0.253</v>
      </c>
      <c r="M10" s="1">
        <v>76</v>
      </c>
      <c r="N10" s="6">
        <v>84</v>
      </c>
      <c r="O10" s="1" t="s">
        <v>24</v>
      </c>
      <c r="P10" s="1" t="s">
        <v>22</v>
      </c>
      <c r="Q10" s="1" t="s">
        <v>33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29.86</v>
      </c>
      <c r="F11" s="6">
        <v>29.84</v>
      </c>
      <c r="G11" s="1">
        <v>54</v>
      </c>
      <c r="H11" s="1">
        <v>40.1</v>
      </c>
      <c r="I11" s="1">
        <v>34.700000000000003</v>
      </c>
      <c r="J11" s="6">
        <v>61.1</v>
      </c>
      <c r="K11" s="5">
        <v>0.28199999999999997</v>
      </c>
      <c r="L11" s="6">
        <v>0.20799999999999999</v>
      </c>
      <c r="M11" s="1">
        <v>68</v>
      </c>
      <c r="N11" s="6">
        <v>84</v>
      </c>
      <c r="O11" s="1" t="s">
        <v>42</v>
      </c>
      <c r="P11" s="1" t="s">
        <v>22</v>
      </c>
      <c r="Q11" s="1" t="s">
        <v>42</v>
      </c>
      <c r="R11" s="6" t="s">
        <v>22</v>
      </c>
      <c r="S11" s="1" t="s">
        <v>22</v>
      </c>
      <c r="T11" s="1" t="s">
        <v>22</v>
      </c>
      <c r="U11" s="12">
        <v>1.2E-2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29.79</v>
      </c>
      <c r="F12" s="6">
        <v>29.76</v>
      </c>
      <c r="G12" s="1">
        <v>39.299999999999997</v>
      </c>
      <c r="H12" s="1">
        <v>39.1</v>
      </c>
      <c r="I12" s="1">
        <v>33.5</v>
      </c>
      <c r="J12" s="6">
        <v>45</v>
      </c>
      <c r="K12" s="5">
        <v>0.19800000000000001</v>
      </c>
      <c r="L12" s="6">
        <v>0.182</v>
      </c>
      <c r="M12" s="1">
        <v>83</v>
      </c>
      <c r="N12" s="6">
        <v>77</v>
      </c>
      <c r="O12" s="1" t="s">
        <v>42</v>
      </c>
      <c r="P12" s="1" t="s">
        <v>22</v>
      </c>
      <c r="Q12" s="1" t="s">
        <v>37</v>
      </c>
      <c r="R12" s="6" t="s">
        <v>22</v>
      </c>
      <c r="S12" s="1" t="s">
        <v>22</v>
      </c>
      <c r="T12" s="1" t="s">
        <v>22</v>
      </c>
      <c r="U12" s="12">
        <v>0.01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29.73</v>
      </c>
      <c r="F13" s="6">
        <v>29.82</v>
      </c>
      <c r="G13" s="1">
        <v>44.7</v>
      </c>
      <c r="H13" s="1">
        <v>42.6</v>
      </c>
      <c r="I13" s="1">
        <v>35.200000000000003</v>
      </c>
      <c r="J13" s="6">
        <v>50.4</v>
      </c>
      <c r="K13" s="5">
        <v>0.20300000000000001</v>
      </c>
      <c r="L13" s="6">
        <v>0.183</v>
      </c>
      <c r="M13" s="1">
        <v>69</v>
      </c>
      <c r="N13" s="6">
        <v>67</v>
      </c>
      <c r="O13" s="1" t="s">
        <v>24</v>
      </c>
      <c r="P13" s="1" t="s">
        <v>22</v>
      </c>
      <c r="Q13" s="1" t="s">
        <v>28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29.7</v>
      </c>
      <c r="F14" s="6">
        <v>29.63</v>
      </c>
      <c r="G14" s="1">
        <v>45.6</v>
      </c>
      <c r="H14" s="1">
        <v>41.1</v>
      </c>
      <c r="I14" s="1">
        <v>33</v>
      </c>
      <c r="J14" s="6">
        <v>52.4</v>
      </c>
      <c r="K14" s="5">
        <v>0.214</v>
      </c>
      <c r="L14" s="6">
        <v>0.19800000000000001</v>
      </c>
      <c r="M14" s="1">
        <v>70</v>
      </c>
      <c r="N14" s="6">
        <v>78</v>
      </c>
      <c r="O14" s="1" t="s">
        <v>27</v>
      </c>
      <c r="P14" s="1" t="s">
        <v>22</v>
      </c>
      <c r="Q14" s="1" t="s">
        <v>27</v>
      </c>
      <c r="R14" s="6" t="s">
        <v>22</v>
      </c>
      <c r="S14" s="1" t="s">
        <v>22</v>
      </c>
      <c r="T14" s="1" t="s">
        <v>22</v>
      </c>
      <c r="U14" s="12">
        <v>0.03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29.63</v>
      </c>
      <c r="F15" s="6">
        <v>29.71</v>
      </c>
      <c r="G15" s="1">
        <v>43.4</v>
      </c>
      <c r="H15" s="1">
        <v>40.6</v>
      </c>
      <c r="I15" s="1">
        <v>36.200000000000003</v>
      </c>
      <c r="J15" s="6">
        <v>51.2</v>
      </c>
      <c r="K15" s="5">
        <v>0.27700000000000002</v>
      </c>
      <c r="L15" s="6">
        <v>0.221</v>
      </c>
      <c r="M15" s="1">
        <v>99</v>
      </c>
      <c r="N15" s="6">
        <v>88</v>
      </c>
      <c r="O15" s="1" t="s">
        <v>26</v>
      </c>
      <c r="P15" s="1" t="s">
        <v>22</v>
      </c>
      <c r="Q15" s="1" t="s">
        <v>33</v>
      </c>
      <c r="R15" s="6" t="s">
        <v>22</v>
      </c>
      <c r="S15" s="1" t="s">
        <v>22</v>
      </c>
      <c r="T15" s="1" t="s">
        <v>22</v>
      </c>
      <c r="U15" s="12">
        <v>0.21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29.42</v>
      </c>
      <c r="F16" s="6">
        <v>29.5</v>
      </c>
      <c r="G16" s="1">
        <v>43.7</v>
      </c>
      <c r="H16" s="1">
        <v>48</v>
      </c>
      <c r="I16" s="1">
        <v>35.700000000000003</v>
      </c>
      <c r="J16" s="6">
        <v>55</v>
      </c>
      <c r="K16" s="5">
        <v>0.27400000000000002</v>
      </c>
      <c r="L16" s="6">
        <v>0.314</v>
      </c>
      <c r="M16" s="1">
        <v>96</v>
      </c>
      <c r="N16" s="6">
        <v>94</v>
      </c>
      <c r="O16" s="1" t="s">
        <v>42</v>
      </c>
      <c r="P16" s="1" t="s">
        <v>22</v>
      </c>
      <c r="Q16" s="1" t="s">
        <v>29</v>
      </c>
      <c r="R16" s="6" t="s">
        <v>22</v>
      </c>
      <c r="S16" s="1" t="s">
        <v>22</v>
      </c>
      <c r="T16" s="1" t="s">
        <v>22</v>
      </c>
      <c r="U16" s="12">
        <v>6.6000000000000003E-2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29.55</v>
      </c>
      <c r="F17" s="6">
        <v>29.61</v>
      </c>
      <c r="G17" s="1">
        <v>49.3</v>
      </c>
      <c r="H17" s="1">
        <v>48</v>
      </c>
      <c r="I17" s="1">
        <v>46.1</v>
      </c>
      <c r="J17" s="6">
        <v>56.6</v>
      </c>
      <c r="K17" s="5">
        <v>0.34899999999999998</v>
      </c>
      <c r="L17" s="6">
        <v>0.30199999999999999</v>
      </c>
      <c r="M17" s="1">
        <v>99</v>
      </c>
      <c r="N17" s="6">
        <v>91</v>
      </c>
      <c r="O17" s="1" t="s">
        <v>29</v>
      </c>
      <c r="P17" s="1" t="s">
        <v>22</v>
      </c>
      <c r="Q17" s="1" t="s">
        <v>37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29.72</v>
      </c>
      <c r="F18" s="6">
        <v>29.84</v>
      </c>
      <c r="G18" s="1">
        <v>52.3</v>
      </c>
      <c r="H18" s="1">
        <v>48</v>
      </c>
      <c r="I18" s="1">
        <v>44.1</v>
      </c>
      <c r="J18" s="6">
        <v>57</v>
      </c>
      <c r="K18" s="5">
        <v>0.34399999999999997</v>
      </c>
      <c r="L18" s="6">
        <v>0.314</v>
      </c>
      <c r="M18" s="1">
        <v>88</v>
      </c>
      <c r="N18" s="6">
        <v>94</v>
      </c>
      <c r="O18" s="1" t="s">
        <v>29</v>
      </c>
      <c r="P18" s="1" t="s">
        <v>22</v>
      </c>
      <c r="Q18" s="1" t="s">
        <v>25</v>
      </c>
      <c r="R18" s="6" t="s">
        <v>22</v>
      </c>
      <c r="S18" s="1" t="s">
        <v>22</v>
      </c>
      <c r="T18" s="1" t="s">
        <v>22</v>
      </c>
      <c r="U18" s="12">
        <v>2.5000000000000001E-2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30.08</v>
      </c>
      <c r="F19" s="6">
        <v>30.29</v>
      </c>
      <c r="G19" s="1">
        <v>50</v>
      </c>
      <c r="H19" s="1">
        <v>47</v>
      </c>
      <c r="I19" s="1">
        <v>37.1</v>
      </c>
      <c r="J19" s="6">
        <v>59</v>
      </c>
      <c r="K19" s="5">
        <v>0.32200000000000001</v>
      </c>
      <c r="L19" s="6">
        <v>0.28000000000000003</v>
      </c>
      <c r="M19" s="1">
        <v>90</v>
      </c>
      <c r="N19" s="6">
        <v>87</v>
      </c>
      <c r="O19" s="1" t="s">
        <v>21</v>
      </c>
      <c r="P19" s="1" t="s">
        <v>22</v>
      </c>
      <c r="Q19" s="1" t="s">
        <v>27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30.41</v>
      </c>
      <c r="F20" s="6">
        <v>30.43</v>
      </c>
      <c r="G20" s="1">
        <v>52</v>
      </c>
      <c r="H20" s="1">
        <v>45.3</v>
      </c>
      <c r="I20" s="1">
        <v>38.1</v>
      </c>
      <c r="J20" s="6">
        <v>60.3</v>
      </c>
      <c r="K20" s="5">
        <v>0.315</v>
      </c>
      <c r="L20" s="6">
        <v>0.24099999999999999</v>
      </c>
      <c r="M20" s="1">
        <v>81</v>
      </c>
      <c r="N20" s="6">
        <v>80</v>
      </c>
      <c r="O20" s="1" t="s">
        <v>26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30.4</v>
      </c>
      <c r="F21" s="6">
        <v>30.38</v>
      </c>
      <c r="G21" s="1">
        <v>52.2</v>
      </c>
      <c r="H21" s="1">
        <v>44.4</v>
      </c>
      <c r="I21" s="1">
        <v>35.200000000000003</v>
      </c>
      <c r="J21" s="6">
        <v>56.8</v>
      </c>
      <c r="K21" s="5">
        <v>0.28999999999999998</v>
      </c>
      <c r="L21" s="6">
        <v>0.26500000000000001</v>
      </c>
      <c r="M21" s="1">
        <v>74</v>
      </c>
      <c r="N21" s="6">
        <v>91</v>
      </c>
      <c r="O21" s="1" t="s">
        <v>25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12">
        <v>5.6000000000000001E-2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30.25</v>
      </c>
      <c r="F22" s="6">
        <v>30.03</v>
      </c>
      <c r="G22" s="1">
        <v>51.2</v>
      </c>
      <c r="H22" s="1">
        <v>47.5</v>
      </c>
      <c r="I22" s="1">
        <v>42.1</v>
      </c>
      <c r="J22" s="6">
        <v>55</v>
      </c>
      <c r="K22" s="5">
        <v>0.30199999999999999</v>
      </c>
      <c r="L22" s="6">
        <v>0.29699999999999999</v>
      </c>
      <c r="M22" s="1">
        <v>80</v>
      </c>
      <c r="N22" s="6">
        <v>91</v>
      </c>
      <c r="O22" s="1" t="s">
        <v>26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>
        <v>1.2E-2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30.06</v>
      </c>
      <c r="F23" s="6">
        <v>30.01</v>
      </c>
      <c r="G23" s="1">
        <v>49</v>
      </c>
      <c r="H23" s="1">
        <v>46.1</v>
      </c>
      <c r="I23" s="1">
        <v>43.1</v>
      </c>
      <c r="J23" s="6">
        <v>53.9</v>
      </c>
      <c r="K23" s="5">
        <v>0.25900000000000001</v>
      </c>
      <c r="L23" s="6">
        <v>0.26800000000000002</v>
      </c>
      <c r="M23" s="1">
        <v>74</v>
      </c>
      <c r="N23" s="6">
        <v>86</v>
      </c>
      <c r="O23" s="1" t="s">
        <v>27</v>
      </c>
      <c r="P23" s="1" t="s">
        <v>22</v>
      </c>
      <c r="Q23" s="1" t="s">
        <v>33</v>
      </c>
      <c r="R23" s="6" t="s">
        <v>22</v>
      </c>
      <c r="S23" s="1" t="s">
        <v>22</v>
      </c>
      <c r="T23" s="1" t="s">
        <v>22</v>
      </c>
      <c r="U23" s="12">
        <v>1.2999999999999999E-2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30.03</v>
      </c>
      <c r="F24" s="6">
        <v>30.09</v>
      </c>
      <c r="G24" s="1">
        <v>54.2</v>
      </c>
      <c r="H24" s="1">
        <v>48.5</v>
      </c>
      <c r="I24" s="1">
        <v>42.1</v>
      </c>
      <c r="J24" s="6">
        <v>59.6</v>
      </c>
      <c r="K24" s="5">
        <v>0.32500000000000001</v>
      </c>
      <c r="L24" s="6">
        <v>0.32400000000000001</v>
      </c>
      <c r="M24" s="1">
        <v>77</v>
      </c>
      <c r="N24" s="6">
        <v>96</v>
      </c>
      <c r="O24" s="1" t="s">
        <v>24</v>
      </c>
      <c r="P24" s="1" t="s">
        <v>22</v>
      </c>
      <c r="Q24" s="1" t="s">
        <v>26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30.12</v>
      </c>
      <c r="F25" s="6">
        <v>30.12</v>
      </c>
      <c r="G25" s="1">
        <v>53</v>
      </c>
      <c r="H25" s="1">
        <v>52.5</v>
      </c>
      <c r="I25" s="1">
        <v>45.1</v>
      </c>
      <c r="J25" s="6">
        <v>63.1</v>
      </c>
      <c r="K25" s="5">
        <v>0.38</v>
      </c>
      <c r="L25" s="6">
        <v>0.33400000000000002</v>
      </c>
      <c r="M25" s="1">
        <v>94</v>
      </c>
      <c r="N25" s="6">
        <v>84</v>
      </c>
      <c r="O25" s="1" t="s">
        <v>25</v>
      </c>
      <c r="P25" s="1" t="s">
        <v>22</v>
      </c>
      <c r="Q25" s="1" t="s">
        <v>36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30.06</v>
      </c>
      <c r="F26" s="6">
        <v>30.07</v>
      </c>
      <c r="G26" s="1">
        <v>53</v>
      </c>
      <c r="H26" s="1">
        <v>50</v>
      </c>
      <c r="I26" s="1">
        <v>45.1</v>
      </c>
      <c r="J26" s="6">
        <v>56</v>
      </c>
      <c r="K26" s="5">
        <v>0.32700000000000001</v>
      </c>
      <c r="L26" s="6">
        <v>0.314</v>
      </c>
      <c r="M26" s="1">
        <v>81</v>
      </c>
      <c r="N26" s="6">
        <v>87</v>
      </c>
      <c r="O26" s="1" t="s">
        <v>25</v>
      </c>
      <c r="P26" s="1" t="s">
        <v>22</v>
      </c>
      <c r="Q26" s="1" t="s">
        <v>25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30.05</v>
      </c>
      <c r="F27" s="6">
        <v>30.02</v>
      </c>
      <c r="G27" s="1">
        <v>49.5</v>
      </c>
      <c r="H27" s="1">
        <v>50.3</v>
      </c>
      <c r="I27" s="1">
        <v>45.1</v>
      </c>
      <c r="J27" s="6">
        <v>52.5</v>
      </c>
      <c r="K27" s="5">
        <v>0.29699999999999999</v>
      </c>
      <c r="L27" s="6">
        <v>0.33600000000000002</v>
      </c>
      <c r="M27" s="1">
        <v>84</v>
      </c>
      <c r="N27" s="6">
        <v>92</v>
      </c>
      <c r="O27" s="1" t="s">
        <v>25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29.95</v>
      </c>
      <c r="F28" s="6">
        <v>29.89</v>
      </c>
      <c r="G28" s="1">
        <v>54.2</v>
      </c>
      <c r="H28" s="1">
        <v>53</v>
      </c>
      <c r="I28" s="1">
        <v>48.1</v>
      </c>
      <c r="J28" s="6">
        <v>66.099999999999994</v>
      </c>
      <c r="K28" s="5">
        <v>0.32</v>
      </c>
      <c r="L28" s="6">
        <v>0.34200000000000003</v>
      </c>
      <c r="M28" s="1">
        <v>76</v>
      </c>
      <c r="N28" s="6">
        <v>85</v>
      </c>
      <c r="O28" s="1" t="s">
        <v>43</v>
      </c>
      <c r="P28" s="1" t="s">
        <v>22</v>
      </c>
      <c r="Q28" s="1" t="s">
        <v>39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29.75</v>
      </c>
      <c r="F29" s="6">
        <v>29.66</v>
      </c>
      <c r="G29" s="1">
        <v>53.3</v>
      </c>
      <c r="H29" s="1">
        <v>49.2</v>
      </c>
      <c r="I29" s="1">
        <v>47.1</v>
      </c>
      <c r="J29" s="6">
        <v>56</v>
      </c>
      <c r="K29" s="5">
        <v>0.38500000000000001</v>
      </c>
      <c r="L29" s="6">
        <v>0.35</v>
      </c>
      <c r="M29" s="1">
        <v>95</v>
      </c>
      <c r="N29" s="6">
        <v>100</v>
      </c>
      <c r="O29" s="1" t="s">
        <v>29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12">
        <v>0.49199999999999999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29.72</v>
      </c>
      <c r="F30" s="6">
        <v>29.83</v>
      </c>
      <c r="G30" s="1">
        <v>51</v>
      </c>
      <c r="H30" s="1">
        <v>43.6</v>
      </c>
      <c r="I30" s="1">
        <v>40.1</v>
      </c>
      <c r="J30" s="6">
        <v>55.5</v>
      </c>
      <c r="K30" s="5">
        <v>0.28100000000000003</v>
      </c>
      <c r="L30" s="6">
        <v>0.23200000000000001</v>
      </c>
      <c r="M30" s="1">
        <v>75</v>
      </c>
      <c r="N30" s="6">
        <v>81</v>
      </c>
      <c r="O30" s="1" t="s">
        <v>27</v>
      </c>
      <c r="P30" s="1" t="s">
        <v>22</v>
      </c>
      <c r="Q30" s="1" t="s">
        <v>27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29.93</v>
      </c>
      <c r="F31" s="6">
        <v>29.84</v>
      </c>
      <c r="G31" s="1">
        <v>56</v>
      </c>
      <c r="H31" s="1">
        <v>51</v>
      </c>
      <c r="I31" s="1">
        <v>35.200000000000003</v>
      </c>
      <c r="J31" s="6">
        <v>59.2</v>
      </c>
      <c r="K31" s="5">
        <v>0.30399999999999999</v>
      </c>
      <c r="L31" s="6">
        <v>0.311</v>
      </c>
      <c r="M31" s="1">
        <v>67</v>
      </c>
      <c r="N31" s="6">
        <v>83</v>
      </c>
      <c r="O31" s="1" t="s">
        <v>39</v>
      </c>
      <c r="P31" s="1" t="s">
        <v>22</v>
      </c>
      <c r="Q31" s="1" t="s">
        <v>29</v>
      </c>
      <c r="R31" s="6" t="s">
        <v>22</v>
      </c>
      <c r="S31" s="1" t="s">
        <v>22</v>
      </c>
      <c r="T31" s="1" t="s">
        <v>22</v>
      </c>
      <c r="U31" s="12">
        <v>0.61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29.69</v>
      </c>
      <c r="F32" s="6">
        <v>29.7</v>
      </c>
      <c r="G32" s="1">
        <v>51</v>
      </c>
      <c r="H32" s="1">
        <v>51.6</v>
      </c>
      <c r="I32" s="1">
        <v>46.4</v>
      </c>
      <c r="J32" s="6">
        <v>58.5</v>
      </c>
      <c r="K32" s="5">
        <v>0.36599999999999999</v>
      </c>
      <c r="L32" s="6">
        <v>0.38200000000000001</v>
      </c>
      <c r="M32" s="1">
        <v>98</v>
      </c>
      <c r="N32" s="6">
        <v>100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>
        <v>0.72199999999999998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29.72</v>
      </c>
      <c r="F33" s="6">
        <v>29.87</v>
      </c>
      <c r="G33" s="1">
        <v>51.8</v>
      </c>
      <c r="H33" s="1">
        <v>48</v>
      </c>
      <c r="I33" s="1">
        <v>45.1</v>
      </c>
      <c r="J33" s="6">
        <v>56.3</v>
      </c>
      <c r="K33" s="5">
        <v>0.32300000000000001</v>
      </c>
      <c r="L33" s="6">
        <v>0.314</v>
      </c>
      <c r="M33" s="1">
        <v>83</v>
      </c>
      <c r="N33" s="6">
        <v>94</v>
      </c>
      <c r="O33" s="1" t="s">
        <v>39</v>
      </c>
      <c r="P33" s="1" t="s">
        <v>22</v>
      </c>
      <c r="Q33" s="1" t="s">
        <v>43</v>
      </c>
      <c r="R33" s="6" t="s">
        <v>22</v>
      </c>
      <c r="S33" s="1" t="s">
        <v>22</v>
      </c>
      <c r="T33" s="1" t="s">
        <v>22</v>
      </c>
      <c r="U33" s="12">
        <v>0.21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30.11</v>
      </c>
      <c r="F34" s="6">
        <v>30.15</v>
      </c>
      <c r="G34" s="1">
        <v>51</v>
      </c>
      <c r="H34" s="1">
        <v>49</v>
      </c>
      <c r="I34" s="1">
        <v>42.7</v>
      </c>
      <c r="J34" s="6">
        <v>58.5</v>
      </c>
      <c r="K34" s="5">
        <v>0.28499999999999998</v>
      </c>
      <c r="L34" s="6">
        <v>0.30299999999999999</v>
      </c>
      <c r="M34" s="1">
        <v>76</v>
      </c>
      <c r="N34" s="6">
        <v>87</v>
      </c>
      <c r="O34" s="1" t="s">
        <v>25</v>
      </c>
      <c r="P34" s="1" t="s">
        <v>22</v>
      </c>
      <c r="Q34" s="1" t="s">
        <v>39</v>
      </c>
      <c r="R34" s="6" t="s">
        <v>22</v>
      </c>
      <c r="S34" s="1" t="s">
        <v>22</v>
      </c>
      <c r="T34" s="1" t="s">
        <v>22</v>
      </c>
      <c r="U34" s="12">
        <v>0.126</v>
      </c>
    </row>
    <row r="35" spans="1:21" s="1" customFormat="1">
      <c r="A35" s="5" t="s">
        <v>41</v>
      </c>
      <c r="B35" s="1">
        <v>1883</v>
      </c>
      <c r="C35" s="1" t="s">
        <v>20</v>
      </c>
      <c r="D35" s="8">
        <v>31</v>
      </c>
      <c r="E35" s="7">
        <v>30.04</v>
      </c>
      <c r="F35" s="9">
        <v>29.96</v>
      </c>
      <c r="G35" s="8">
        <v>51</v>
      </c>
      <c r="H35" s="8">
        <v>50.3</v>
      </c>
      <c r="I35" s="8">
        <v>45.6</v>
      </c>
      <c r="J35" s="9">
        <v>52.5</v>
      </c>
      <c r="K35" s="7">
        <v>0.36599999999999999</v>
      </c>
      <c r="L35" s="9">
        <v>0.36199999999999999</v>
      </c>
      <c r="M35" s="8">
        <v>98</v>
      </c>
      <c r="N35" s="9">
        <v>99</v>
      </c>
      <c r="O35" s="8" t="s">
        <v>29</v>
      </c>
      <c r="P35" s="8" t="s">
        <v>22</v>
      </c>
      <c r="Q35" s="8" t="s">
        <v>38</v>
      </c>
      <c r="R35" s="9" t="s">
        <v>22</v>
      </c>
      <c r="S35" s="8" t="s">
        <v>22</v>
      </c>
      <c r="T35" s="8" t="s">
        <v>22</v>
      </c>
      <c r="U35" s="13">
        <v>0.37</v>
      </c>
    </row>
    <row r="36" spans="1:21" s="1" customFormat="1">
      <c r="A36" s="14"/>
      <c r="B36" s="15"/>
      <c r="C36" s="15"/>
      <c r="D36" s="16" t="s">
        <v>30</v>
      </c>
      <c r="E36" s="15">
        <v>29.937999999999999</v>
      </c>
      <c r="F36" s="16">
        <v>29.946999999999999</v>
      </c>
      <c r="G36" s="14">
        <v>49.5</v>
      </c>
      <c r="H36" s="15">
        <v>46.4</v>
      </c>
      <c r="I36" s="15">
        <v>40.1</v>
      </c>
      <c r="J36" s="16">
        <v>55.9</v>
      </c>
      <c r="K36" s="15">
        <v>0.29099999999999998</v>
      </c>
      <c r="L36" s="15">
        <v>0.27800000000000002</v>
      </c>
      <c r="M36" s="14">
        <v>81.599999999999994</v>
      </c>
      <c r="N36" s="16">
        <v>87.2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3.0990000000000002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J18" workbookViewId="0">
      <selection activeCell="U37" sqref="U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29.98</v>
      </c>
      <c r="F5" s="6">
        <v>30.02</v>
      </c>
      <c r="G5" s="1">
        <v>55.9</v>
      </c>
      <c r="H5" s="1">
        <v>44</v>
      </c>
      <c r="I5" s="1">
        <v>34.1</v>
      </c>
      <c r="J5" s="6">
        <v>63.1</v>
      </c>
      <c r="K5" s="5">
        <v>0.251</v>
      </c>
      <c r="L5" s="6">
        <v>0.23799999999999999</v>
      </c>
      <c r="M5" s="1">
        <v>55</v>
      </c>
      <c r="N5" s="6">
        <v>82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30.06</v>
      </c>
      <c r="F6" s="6">
        <v>29.96</v>
      </c>
      <c r="G6" s="1">
        <v>47.1</v>
      </c>
      <c r="H6" s="1">
        <v>44</v>
      </c>
      <c r="I6" s="1">
        <v>37.4</v>
      </c>
      <c r="J6" s="6">
        <v>55.1</v>
      </c>
      <c r="K6" s="5">
        <v>0.20799999999999999</v>
      </c>
      <c r="L6" s="6">
        <v>0.23400000000000001</v>
      </c>
      <c r="M6" s="1">
        <v>65</v>
      </c>
      <c r="N6" s="6">
        <v>81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29.93</v>
      </c>
      <c r="F7" s="6">
        <v>29.98</v>
      </c>
      <c r="G7" s="1">
        <v>45</v>
      </c>
      <c r="H7" s="1">
        <v>38.200000000000003</v>
      </c>
      <c r="I7" s="1">
        <v>36.5</v>
      </c>
      <c r="J7" s="6">
        <v>51.1</v>
      </c>
      <c r="K7" s="5">
        <v>0.19400000000000001</v>
      </c>
      <c r="L7" s="6">
        <v>0.183</v>
      </c>
      <c r="M7" s="1">
        <v>65</v>
      </c>
      <c r="N7" s="6">
        <v>80</v>
      </c>
      <c r="O7" s="1" t="s">
        <v>23</v>
      </c>
      <c r="P7" s="1" t="s">
        <v>22</v>
      </c>
      <c r="Q7" s="1" t="s">
        <v>23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29.98</v>
      </c>
      <c r="F8" s="6">
        <v>30.02</v>
      </c>
      <c r="G8" s="1">
        <v>45.9</v>
      </c>
      <c r="H8" s="1">
        <v>38.200000000000003</v>
      </c>
      <c r="I8" s="1">
        <v>36.5</v>
      </c>
      <c r="J8" s="6">
        <v>49.2</v>
      </c>
      <c r="K8" s="5">
        <v>0.26600000000000001</v>
      </c>
      <c r="L8" s="6">
        <v>0.19</v>
      </c>
      <c r="M8" s="1">
        <v>87</v>
      </c>
      <c r="N8" s="6">
        <v>83</v>
      </c>
      <c r="O8" s="1" t="s">
        <v>23</v>
      </c>
      <c r="P8" s="1" t="s">
        <v>22</v>
      </c>
      <c r="Q8" s="1" t="s">
        <v>23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30.06</v>
      </c>
      <c r="F9" s="6">
        <v>30.03</v>
      </c>
      <c r="G9" s="1">
        <v>42</v>
      </c>
      <c r="H9" s="1">
        <v>38.200000000000003</v>
      </c>
      <c r="I9" s="1">
        <v>36.5</v>
      </c>
      <c r="J9" s="6">
        <v>51.1</v>
      </c>
      <c r="K9" s="5">
        <v>0.214</v>
      </c>
      <c r="L9" s="6">
        <v>0.17399999999999999</v>
      </c>
      <c r="M9" s="1">
        <v>81</v>
      </c>
      <c r="N9" s="6">
        <v>76</v>
      </c>
      <c r="O9" s="1" t="s">
        <v>23</v>
      </c>
      <c r="P9" s="1" t="s">
        <v>22</v>
      </c>
      <c r="Q9" s="1" t="s">
        <v>24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30.08</v>
      </c>
      <c r="F10" s="6">
        <v>30.01</v>
      </c>
      <c r="G10" s="1">
        <v>51.8</v>
      </c>
      <c r="H10" s="1">
        <v>46.4</v>
      </c>
      <c r="I10" s="1">
        <v>25.5</v>
      </c>
      <c r="J10" s="6">
        <v>62.1</v>
      </c>
      <c r="K10" s="5">
        <v>0.20699999999999999</v>
      </c>
      <c r="L10" s="6">
        <v>0.25</v>
      </c>
      <c r="M10" s="1">
        <v>54</v>
      </c>
      <c r="N10" s="6">
        <v>80</v>
      </c>
      <c r="O10" s="1" t="s">
        <v>23</v>
      </c>
      <c r="P10" s="1" t="s">
        <v>22</v>
      </c>
      <c r="Q10" s="1" t="s">
        <v>27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29.83</v>
      </c>
      <c r="F11" s="6">
        <v>29.78</v>
      </c>
      <c r="G11" s="1">
        <v>51.6</v>
      </c>
      <c r="H11" s="1">
        <v>44</v>
      </c>
      <c r="I11" s="1">
        <v>29.5</v>
      </c>
      <c r="J11" s="6">
        <v>58.1</v>
      </c>
      <c r="K11" s="5">
        <v>0.26</v>
      </c>
      <c r="L11" s="6">
        <v>0.22</v>
      </c>
      <c r="M11" s="1">
        <v>69</v>
      </c>
      <c r="N11" s="6">
        <v>76</v>
      </c>
      <c r="O11" s="1" t="s">
        <v>27</v>
      </c>
      <c r="P11" s="1" t="s">
        <v>22</v>
      </c>
      <c r="Q11" s="1" t="s">
        <v>23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29.72</v>
      </c>
      <c r="F12" s="6">
        <v>29.74</v>
      </c>
      <c r="G12" s="1">
        <v>39.1</v>
      </c>
      <c r="H12" s="1">
        <v>38.200000000000003</v>
      </c>
      <c r="I12" s="1">
        <v>37</v>
      </c>
      <c r="J12" s="6">
        <v>47.2</v>
      </c>
      <c r="K12" s="5">
        <v>0.19600000000000001</v>
      </c>
      <c r="L12" s="6">
        <v>0.19</v>
      </c>
      <c r="M12" s="1">
        <v>82</v>
      </c>
      <c r="N12" s="6">
        <v>83</v>
      </c>
      <c r="O12" s="1" t="s">
        <v>24</v>
      </c>
      <c r="P12" s="1" t="s">
        <v>22</v>
      </c>
      <c r="Q12" s="1" t="s">
        <v>24</v>
      </c>
      <c r="R12" s="6" t="s">
        <v>22</v>
      </c>
      <c r="S12" s="1" t="s">
        <v>22</v>
      </c>
      <c r="T12" s="1" t="s">
        <v>22</v>
      </c>
      <c r="U12" s="12">
        <v>7.0000000000000007E-2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29.69</v>
      </c>
      <c r="F13" s="6">
        <v>29.75</v>
      </c>
      <c r="G13" s="1">
        <v>45.4</v>
      </c>
      <c r="H13" s="1">
        <v>40.9</v>
      </c>
      <c r="I13" s="1">
        <v>34.5</v>
      </c>
      <c r="J13" s="6">
        <v>50.1</v>
      </c>
      <c r="K13" s="5">
        <v>0.224</v>
      </c>
      <c r="L13" s="6">
        <v>0.183</v>
      </c>
      <c r="M13" s="1">
        <v>74</v>
      </c>
      <c r="N13" s="6">
        <v>72</v>
      </c>
      <c r="O13" s="1" t="s">
        <v>23</v>
      </c>
      <c r="P13" s="1" t="s">
        <v>22</v>
      </c>
      <c r="Q13" s="1" t="s">
        <v>23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29.68</v>
      </c>
      <c r="F14" s="6">
        <v>29.65</v>
      </c>
      <c r="G14" s="1">
        <v>44.7</v>
      </c>
      <c r="H14" s="1">
        <v>41</v>
      </c>
      <c r="I14" s="1">
        <v>32</v>
      </c>
      <c r="J14" s="6">
        <v>50.1</v>
      </c>
      <c r="K14" s="5">
        <v>0.19600000000000001</v>
      </c>
      <c r="L14" s="6">
        <v>0.20100000000000001</v>
      </c>
      <c r="M14" s="1">
        <v>67</v>
      </c>
      <c r="N14" s="6">
        <v>78</v>
      </c>
      <c r="O14" s="1" t="s">
        <v>28</v>
      </c>
      <c r="P14" s="1" t="s">
        <v>22</v>
      </c>
      <c r="Q14" s="1" t="s">
        <v>28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29.71</v>
      </c>
      <c r="F15" s="6">
        <v>29.82</v>
      </c>
      <c r="G15" s="1">
        <v>41</v>
      </c>
      <c r="H15" s="1">
        <v>38.4</v>
      </c>
      <c r="I15" s="1">
        <v>38</v>
      </c>
      <c r="J15" s="6">
        <v>51.1</v>
      </c>
      <c r="K15" s="5">
        <v>0.21299999999999999</v>
      </c>
      <c r="L15" s="6">
        <v>0.188</v>
      </c>
      <c r="M15" s="1">
        <v>83</v>
      </c>
      <c r="N15" s="6">
        <v>82</v>
      </c>
      <c r="O15" s="1" t="s">
        <v>27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12">
        <v>0.32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29.4</v>
      </c>
      <c r="F16" s="6">
        <v>29.51</v>
      </c>
      <c r="G16" s="1">
        <v>52.8</v>
      </c>
      <c r="H16" s="1">
        <v>48.7</v>
      </c>
      <c r="I16" s="1">
        <v>34.5</v>
      </c>
      <c r="J16" s="6">
        <v>58.1</v>
      </c>
      <c r="K16" s="5">
        <v>0.34</v>
      </c>
      <c r="L16" s="6">
        <v>0.29399999999999998</v>
      </c>
      <c r="M16" s="1">
        <v>85</v>
      </c>
      <c r="N16" s="6">
        <v>86</v>
      </c>
      <c r="O16" s="1" t="s">
        <v>26</v>
      </c>
      <c r="P16" s="1" t="s">
        <v>22</v>
      </c>
      <c r="Q16" s="1" t="s">
        <v>26</v>
      </c>
      <c r="R16" s="6" t="s">
        <v>22</v>
      </c>
      <c r="S16" s="1" t="s">
        <v>22</v>
      </c>
      <c r="T16" s="1" t="s">
        <v>22</v>
      </c>
      <c r="U16" s="12">
        <v>0.02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29.58</v>
      </c>
      <c r="F17" s="6">
        <v>29.64</v>
      </c>
      <c r="G17" s="1">
        <v>50.3</v>
      </c>
      <c r="H17" s="1">
        <v>46.4</v>
      </c>
      <c r="I17" s="1">
        <v>44.3</v>
      </c>
      <c r="J17" s="6">
        <v>58.1</v>
      </c>
      <c r="K17" s="5">
        <v>0.34599999999999997</v>
      </c>
      <c r="L17" s="6">
        <v>0.27500000000000002</v>
      </c>
      <c r="M17" s="1">
        <v>95</v>
      </c>
      <c r="N17" s="6">
        <v>88</v>
      </c>
      <c r="O17" s="1" t="s">
        <v>25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29.73</v>
      </c>
      <c r="F18" s="6">
        <v>29.83</v>
      </c>
      <c r="G18" s="1">
        <v>51.3</v>
      </c>
      <c r="H18" s="1">
        <v>47.9</v>
      </c>
      <c r="I18" s="1">
        <v>46.2</v>
      </c>
      <c r="J18" s="6">
        <v>59.1</v>
      </c>
      <c r="K18" s="5">
        <v>0.28699999999999998</v>
      </c>
      <c r="L18" s="6">
        <v>0.29099999999999998</v>
      </c>
      <c r="M18" s="1">
        <v>76</v>
      </c>
      <c r="N18" s="6">
        <v>88</v>
      </c>
      <c r="O18" s="1" t="s">
        <v>25</v>
      </c>
      <c r="P18" s="1" t="s">
        <v>22</v>
      </c>
      <c r="Q18" s="1" t="s">
        <v>26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30.06</v>
      </c>
      <c r="F19" s="6">
        <v>30.22</v>
      </c>
      <c r="G19" s="1">
        <v>51.3</v>
      </c>
      <c r="H19" s="1">
        <v>44.9</v>
      </c>
      <c r="I19" s="1">
        <v>40.9</v>
      </c>
      <c r="J19" s="6">
        <v>58.1</v>
      </c>
      <c r="K19" s="5">
        <v>0.29699999999999999</v>
      </c>
      <c r="L19" s="6">
        <v>0.26900000000000002</v>
      </c>
      <c r="M19" s="1">
        <v>79</v>
      </c>
      <c r="N19" s="6">
        <v>91</v>
      </c>
      <c r="O19" s="1" t="s">
        <v>26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30.36</v>
      </c>
      <c r="F20" s="6">
        <v>30.38</v>
      </c>
      <c r="G20" s="1">
        <v>57</v>
      </c>
      <c r="H20" s="1">
        <v>44.4</v>
      </c>
      <c r="I20" s="1">
        <v>32</v>
      </c>
      <c r="J20" s="6">
        <v>60.6</v>
      </c>
      <c r="K20" s="5">
        <v>0.36699999999999999</v>
      </c>
      <c r="L20" s="6">
        <v>0.254</v>
      </c>
      <c r="M20" s="1">
        <v>79</v>
      </c>
      <c r="N20" s="6">
        <v>87</v>
      </c>
      <c r="O20" s="1" t="s">
        <v>26</v>
      </c>
      <c r="P20" s="1" t="s">
        <v>22</v>
      </c>
      <c r="Q20" s="1" t="s">
        <v>26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30.37</v>
      </c>
      <c r="F21" s="6">
        <v>30.35</v>
      </c>
      <c r="G21" s="1">
        <v>56.1</v>
      </c>
      <c r="H21" s="1">
        <v>45.4</v>
      </c>
      <c r="I21" s="1">
        <v>30.5</v>
      </c>
      <c r="J21" s="6">
        <v>59.1</v>
      </c>
      <c r="K21" s="5">
        <v>0.245</v>
      </c>
      <c r="L21" s="6">
        <v>0.24299999999999999</v>
      </c>
      <c r="M21" s="1">
        <v>54</v>
      </c>
      <c r="N21" s="6">
        <v>81</v>
      </c>
      <c r="O21" s="1" t="s">
        <v>27</v>
      </c>
      <c r="P21" s="1" t="s">
        <v>22</v>
      </c>
      <c r="Q21" s="1" t="s">
        <v>26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30.27</v>
      </c>
      <c r="F22" s="6">
        <v>30.02</v>
      </c>
      <c r="G22" s="1">
        <v>50.8</v>
      </c>
      <c r="H22" s="1">
        <v>45.9</v>
      </c>
      <c r="I22" s="1">
        <v>41.4</v>
      </c>
      <c r="J22" s="6">
        <v>56.1</v>
      </c>
      <c r="K22" s="5">
        <v>0.24199999999999999</v>
      </c>
      <c r="L22" s="6">
        <v>0.30499999999999999</v>
      </c>
      <c r="M22" s="1">
        <v>65</v>
      </c>
      <c r="N22" s="6">
        <v>99</v>
      </c>
      <c r="O22" s="1" t="s">
        <v>28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30</v>
      </c>
      <c r="F23" s="6">
        <v>29.99</v>
      </c>
      <c r="G23" s="1">
        <v>49.3</v>
      </c>
      <c r="H23" s="1">
        <v>45.9</v>
      </c>
      <c r="I23" s="1">
        <v>45.3</v>
      </c>
      <c r="J23" s="6">
        <v>55.6</v>
      </c>
      <c r="K23" s="5">
        <v>0.27700000000000002</v>
      </c>
      <c r="L23" s="6">
        <v>0.28100000000000003</v>
      </c>
      <c r="M23" s="1">
        <v>79</v>
      </c>
      <c r="N23" s="6">
        <v>92</v>
      </c>
      <c r="O23" s="1" t="s">
        <v>27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12">
        <v>0.2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30.01</v>
      </c>
      <c r="F24" s="6">
        <v>30.03</v>
      </c>
      <c r="G24" s="1">
        <v>51.3</v>
      </c>
      <c r="H24" s="1">
        <v>51.8</v>
      </c>
      <c r="I24" s="1">
        <v>45.3</v>
      </c>
      <c r="J24" s="6">
        <v>56.1</v>
      </c>
      <c r="K24" s="5">
        <v>0.309</v>
      </c>
      <c r="L24" s="6">
        <v>0.32800000000000001</v>
      </c>
      <c r="M24" s="1">
        <v>82</v>
      </c>
      <c r="N24" s="6">
        <v>85</v>
      </c>
      <c r="O24" s="1" t="s">
        <v>25</v>
      </c>
      <c r="P24" s="1" t="s">
        <v>22</v>
      </c>
      <c r="Q24" s="1" t="s">
        <v>27</v>
      </c>
      <c r="R24" s="6" t="s">
        <v>22</v>
      </c>
      <c r="S24" s="1" t="s">
        <v>22</v>
      </c>
      <c r="T24" s="1" t="s">
        <v>22</v>
      </c>
      <c r="U24" s="12">
        <v>0.02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30.11</v>
      </c>
      <c r="F25" s="6">
        <v>30.08</v>
      </c>
      <c r="G25" s="1">
        <v>54.7</v>
      </c>
      <c r="H25" s="1">
        <v>52.8</v>
      </c>
      <c r="I25" s="1">
        <v>50.1</v>
      </c>
      <c r="J25" s="6">
        <v>63.1</v>
      </c>
      <c r="K25" s="5">
        <v>0.36899999999999999</v>
      </c>
      <c r="L25" s="6">
        <v>0.35299999999999998</v>
      </c>
      <c r="M25" s="1">
        <v>87</v>
      </c>
      <c r="N25" s="6">
        <v>88</v>
      </c>
      <c r="O25" s="1" t="s">
        <v>25</v>
      </c>
      <c r="P25" s="1" t="s">
        <v>22</v>
      </c>
      <c r="Q25" s="1" t="s">
        <v>26</v>
      </c>
      <c r="R25" s="6" t="s">
        <v>22</v>
      </c>
      <c r="S25" s="1" t="s">
        <v>22</v>
      </c>
      <c r="T25" s="1" t="s">
        <v>22</v>
      </c>
      <c r="U25" s="12">
        <v>0.03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30.06</v>
      </c>
      <c r="F26" s="6">
        <v>30.06</v>
      </c>
      <c r="G26" s="1">
        <v>54.4</v>
      </c>
      <c r="H26" s="1">
        <v>49.8</v>
      </c>
      <c r="I26" s="1">
        <v>49.1</v>
      </c>
      <c r="J26" s="6">
        <v>59.1</v>
      </c>
      <c r="K26" s="5">
        <v>0.32500000000000001</v>
      </c>
      <c r="L26" s="6">
        <v>0.30199999999999999</v>
      </c>
      <c r="M26" s="1">
        <v>77</v>
      </c>
      <c r="N26" s="6">
        <v>85</v>
      </c>
      <c r="O26" s="1" t="s">
        <v>26</v>
      </c>
      <c r="P26" s="1" t="s">
        <v>22</v>
      </c>
      <c r="Q26" s="1" t="s">
        <v>25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30.05</v>
      </c>
      <c r="F27" s="6">
        <v>30.06</v>
      </c>
      <c r="G27" s="1">
        <v>52.8</v>
      </c>
      <c r="H27" s="1">
        <v>47.9</v>
      </c>
      <c r="I27" s="1">
        <v>45.3</v>
      </c>
      <c r="J27" s="6">
        <v>55.6</v>
      </c>
      <c r="K27" s="5">
        <v>0.28100000000000003</v>
      </c>
      <c r="L27" s="6">
        <v>0.25800000000000001</v>
      </c>
      <c r="M27" s="1">
        <v>71</v>
      </c>
      <c r="N27" s="6">
        <v>78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30.04</v>
      </c>
      <c r="F28" s="6">
        <v>29.97</v>
      </c>
      <c r="G28" s="1">
        <v>54.7</v>
      </c>
      <c r="H28" s="1">
        <v>45.4</v>
      </c>
      <c r="I28" s="1">
        <v>44.3</v>
      </c>
      <c r="J28" s="6">
        <v>59.1</v>
      </c>
      <c r="K28" s="5">
        <v>0.36899999999999999</v>
      </c>
      <c r="L28" s="6">
        <v>0.24299999999999999</v>
      </c>
      <c r="M28" s="1">
        <v>87</v>
      </c>
      <c r="N28" s="6">
        <v>81</v>
      </c>
      <c r="O28" s="1" t="s">
        <v>26</v>
      </c>
      <c r="P28" s="1" t="s">
        <v>22</v>
      </c>
      <c r="Q28" s="1" t="s">
        <v>26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29.88</v>
      </c>
      <c r="F29" s="6">
        <v>29.76</v>
      </c>
      <c r="G29" s="1">
        <v>58</v>
      </c>
      <c r="H29" s="1">
        <v>49.8</v>
      </c>
      <c r="I29" s="1">
        <v>45.3</v>
      </c>
      <c r="J29" s="6">
        <v>58.1</v>
      </c>
      <c r="K29" s="5">
        <v>0.33200000000000002</v>
      </c>
      <c r="L29" s="6">
        <v>0.32700000000000001</v>
      </c>
      <c r="M29" s="1">
        <v>69</v>
      </c>
      <c r="N29" s="6">
        <v>91</v>
      </c>
      <c r="O29" s="1" t="s">
        <v>25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12">
        <v>0.3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29.73</v>
      </c>
      <c r="F30" s="6">
        <v>29.83</v>
      </c>
      <c r="G30" s="1">
        <v>52.8</v>
      </c>
      <c r="H30" s="1">
        <v>43.5</v>
      </c>
      <c r="I30" s="1">
        <v>41.4</v>
      </c>
      <c r="J30" s="6">
        <v>55.1</v>
      </c>
      <c r="K30" s="5">
        <v>0.26700000000000002</v>
      </c>
      <c r="L30" s="6">
        <v>0.22500000000000001</v>
      </c>
      <c r="M30" s="1">
        <v>67</v>
      </c>
      <c r="N30" s="6">
        <v>80</v>
      </c>
      <c r="O30" s="1" t="s">
        <v>26</v>
      </c>
      <c r="P30" s="1" t="s">
        <v>22</v>
      </c>
      <c r="Q30" s="1" t="s">
        <v>26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29.92</v>
      </c>
      <c r="F31" s="6">
        <v>29.84</v>
      </c>
      <c r="G31" s="1">
        <v>54.2</v>
      </c>
      <c r="H31" s="1">
        <v>49.8</v>
      </c>
      <c r="I31" s="1">
        <v>32.5</v>
      </c>
      <c r="J31" s="6">
        <v>58.1</v>
      </c>
      <c r="K31" s="5">
        <v>0.24299999999999999</v>
      </c>
      <c r="L31" s="6">
        <v>0.28999999999999998</v>
      </c>
      <c r="M31" s="1">
        <v>57</v>
      </c>
      <c r="N31" s="6">
        <v>82</v>
      </c>
      <c r="O31" s="1" t="s">
        <v>26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12">
        <v>0.35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29.74</v>
      </c>
      <c r="F32" s="6">
        <v>29.71</v>
      </c>
      <c r="G32" s="1">
        <v>51.8</v>
      </c>
      <c r="H32" s="1">
        <v>51.3</v>
      </c>
      <c r="I32" s="1">
        <v>49.1</v>
      </c>
      <c r="J32" s="6">
        <v>54.1</v>
      </c>
      <c r="K32" s="5">
        <v>0.36699999999999999</v>
      </c>
      <c r="L32" s="6">
        <v>0.36</v>
      </c>
      <c r="M32" s="1">
        <v>95</v>
      </c>
      <c r="N32" s="6">
        <v>95</v>
      </c>
      <c r="O32" s="1" t="s">
        <v>29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12">
        <v>0.8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29.76</v>
      </c>
      <c r="F33" s="6">
        <v>29.89</v>
      </c>
      <c r="G33" s="1">
        <v>51.6</v>
      </c>
      <c r="H33" s="1">
        <v>49.3</v>
      </c>
      <c r="I33" s="1">
        <v>47.2</v>
      </c>
      <c r="J33" s="6">
        <v>57.1</v>
      </c>
      <c r="K33" s="5">
        <v>0.29399999999999998</v>
      </c>
      <c r="L33" s="6">
        <v>0.29599999999999999</v>
      </c>
      <c r="M33" s="1">
        <v>77</v>
      </c>
      <c r="N33" s="6">
        <v>85</v>
      </c>
      <c r="O33" s="1" t="s">
        <v>26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12">
        <v>0.09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30.07</v>
      </c>
      <c r="F34" s="6">
        <v>30.13</v>
      </c>
      <c r="G34" s="1">
        <v>52.6</v>
      </c>
      <c r="H34" s="1">
        <v>49.3</v>
      </c>
      <c r="I34" s="1">
        <v>42.9</v>
      </c>
      <c r="J34" s="6">
        <v>58.1</v>
      </c>
      <c r="K34" s="5">
        <v>0.26300000000000001</v>
      </c>
      <c r="L34" s="6">
        <v>0.28599999999999998</v>
      </c>
      <c r="M34" s="1">
        <v>67</v>
      </c>
      <c r="N34" s="6">
        <v>82</v>
      </c>
      <c r="O34" s="1" t="s">
        <v>27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12">
        <v>0.09</v>
      </c>
    </row>
    <row r="35" spans="1:21" s="1" customFormat="1">
      <c r="A35" s="5" t="s">
        <v>44</v>
      </c>
      <c r="B35" s="1">
        <v>1883</v>
      </c>
      <c r="C35" s="1" t="s">
        <v>20</v>
      </c>
      <c r="D35" s="8">
        <v>31</v>
      </c>
      <c r="E35" s="7">
        <v>30.04</v>
      </c>
      <c r="F35" s="9">
        <v>29.94</v>
      </c>
      <c r="G35" s="8">
        <v>51.3</v>
      </c>
      <c r="H35" s="8">
        <v>50.8</v>
      </c>
      <c r="I35" s="8">
        <v>47.7</v>
      </c>
      <c r="J35" s="9">
        <v>57.6</v>
      </c>
      <c r="K35" s="7">
        <v>0.34699999999999998</v>
      </c>
      <c r="L35" s="9">
        <v>0.35399999999999998</v>
      </c>
      <c r="M35" s="8">
        <v>92</v>
      </c>
      <c r="N35" s="9">
        <v>95</v>
      </c>
      <c r="O35" s="8" t="s">
        <v>27</v>
      </c>
      <c r="P35" s="8" t="s">
        <v>22</v>
      </c>
      <c r="Q35" s="8" t="s">
        <v>29</v>
      </c>
      <c r="R35" s="9" t="s">
        <v>22</v>
      </c>
      <c r="S35" s="8" t="s">
        <v>22</v>
      </c>
      <c r="T35" s="8" t="s">
        <v>22</v>
      </c>
      <c r="U35" s="13">
        <v>0.22</v>
      </c>
    </row>
    <row r="36" spans="1:21" s="1" customFormat="1">
      <c r="A36" s="14"/>
      <c r="B36" s="15"/>
      <c r="C36" s="15"/>
      <c r="D36" s="16" t="s">
        <v>30</v>
      </c>
      <c r="E36" s="15">
        <v>29.931999999999999</v>
      </c>
      <c r="F36" s="16">
        <v>29.936</v>
      </c>
      <c r="G36" s="14">
        <v>50.6</v>
      </c>
      <c r="H36" s="15">
        <v>45.6</v>
      </c>
      <c r="I36" s="15">
        <v>39.799999999999997</v>
      </c>
      <c r="J36" s="16">
        <v>56.3</v>
      </c>
      <c r="K36" s="15">
        <v>0.27700000000000002</v>
      </c>
      <c r="L36" s="15">
        <v>0.26100000000000001</v>
      </c>
      <c r="M36" s="14">
        <v>74.900000000000006</v>
      </c>
      <c r="N36" s="16">
        <v>84.3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2.5099999999999998</v>
      </c>
    </row>
    <row r="37" spans="1:21">
      <c r="F37">
        <f>SUM(F5:F35)/31</f>
        <v>29.93548387096774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C22" workbookViewId="0">
      <selection activeCell="L38" sqref="L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1">
        <v>29.97</v>
      </c>
      <c r="F5" s="6">
        <v>30.03</v>
      </c>
      <c r="G5" s="1">
        <v>49.5</v>
      </c>
      <c r="H5" s="1">
        <v>44.5</v>
      </c>
      <c r="I5" s="1">
        <v>35.9</v>
      </c>
      <c r="J5" s="6">
        <v>54.8</v>
      </c>
      <c r="K5" s="5">
        <v>0.28299999999999997</v>
      </c>
      <c r="L5" s="6">
        <v>0.251</v>
      </c>
      <c r="M5" s="1">
        <v>81</v>
      </c>
      <c r="N5" s="6">
        <v>86</v>
      </c>
      <c r="O5" s="1" t="s">
        <v>24</v>
      </c>
      <c r="P5" s="1">
        <v>4</v>
      </c>
      <c r="Q5" s="1" t="s">
        <v>24</v>
      </c>
      <c r="R5" s="6">
        <v>4</v>
      </c>
      <c r="S5" s="1">
        <v>3</v>
      </c>
      <c r="T5" s="1">
        <v>10</v>
      </c>
      <c r="U5" s="12" t="s">
        <v>22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30.03</v>
      </c>
      <c r="F6" s="6">
        <v>29.94</v>
      </c>
      <c r="G6" s="1">
        <v>44.5</v>
      </c>
      <c r="H6" s="1">
        <v>40</v>
      </c>
      <c r="I6" s="1">
        <v>37.700000000000003</v>
      </c>
      <c r="J6" s="6">
        <v>50.5</v>
      </c>
      <c r="K6" s="5">
        <v>0.245</v>
      </c>
      <c r="L6" s="6">
        <v>0.23799999999999999</v>
      </c>
      <c r="M6" s="1">
        <v>83</v>
      </c>
      <c r="N6" s="6">
        <v>97</v>
      </c>
      <c r="O6" s="1" t="s">
        <v>24</v>
      </c>
      <c r="P6" s="1">
        <v>5</v>
      </c>
      <c r="Q6" s="1" t="s">
        <v>28</v>
      </c>
      <c r="R6" s="6">
        <v>3</v>
      </c>
      <c r="S6" s="1">
        <v>9</v>
      </c>
      <c r="T6" s="1">
        <v>10</v>
      </c>
      <c r="U6" s="12" t="s">
        <v>22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29.87</v>
      </c>
      <c r="F7" s="6">
        <v>29.98</v>
      </c>
      <c r="G7" s="1">
        <v>44.3</v>
      </c>
      <c r="H7" s="1">
        <v>37.5</v>
      </c>
      <c r="I7" s="1">
        <v>35.4</v>
      </c>
      <c r="J7" s="6">
        <v>50.2</v>
      </c>
      <c r="K7" s="5">
        <v>0.214</v>
      </c>
      <c r="L7" s="6">
        <v>0.188</v>
      </c>
      <c r="M7" s="1">
        <v>74</v>
      </c>
      <c r="N7" s="6">
        <v>84</v>
      </c>
      <c r="O7" s="1" t="s">
        <v>24</v>
      </c>
      <c r="P7" s="1">
        <v>5</v>
      </c>
      <c r="Q7" s="1" t="s">
        <v>28</v>
      </c>
      <c r="R7" s="6">
        <v>2</v>
      </c>
      <c r="S7" s="1">
        <v>10</v>
      </c>
      <c r="T7" s="1">
        <v>8</v>
      </c>
      <c r="U7" s="12" t="s">
        <v>22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29.98</v>
      </c>
      <c r="F8" s="6">
        <v>30.03</v>
      </c>
      <c r="G8" s="1">
        <v>45</v>
      </c>
      <c r="H8" s="1">
        <v>36.5</v>
      </c>
      <c r="I8" s="1">
        <v>30.7</v>
      </c>
      <c r="J8" s="6">
        <v>47.2</v>
      </c>
      <c r="K8" s="5">
        <v>0.23599999999999999</v>
      </c>
      <c r="L8" s="6">
        <v>0.20799999999999999</v>
      </c>
      <c r="M8" s="1">
        <v>79</v>
      </c>
      <c r="N8" s="6">
        <v>97</v>
      </c>
      <c r="O8" s="1" t="s">
        <v>24</v>
      </c>
      <c r="P8" s="1">
        <v>5</v>
      </c>
      <c r="Q8" s="1" t="s">
        <v>24</v>
      </c>
      <c r="R8" s="6">
        <v>2</v>
      </c>
      <c r="S8" s="1">
        <v>5</v>
      </c>
      <c r="T8" s="1">
        <v>4</v>
      </c>
      <c r="U8" s="12">
        <v>0.06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30.03</v>
      </c>
      <c r="F9" s="6">
        <v>30.07</v>
      </c>
      <c r="G9" s="1">
        <v>45.5</v>
      </c>
      <c r="H9" s="1">
        <v>37</v>
      </c>
      <c r="I9" s="1">
        <v>27.4</v>
      </c>
      <c r="J9" s="6">
        <v>53.8</v>
      </c>
      <c r="K9" s="5">
        <v>0.29499999999999998</v>
      </c>
      <c r="L9" s="6">
        <v>0.20200000000000001</v>
      </c>
      <c r="M9" s="1">
        <v>98</v>
      </c>
      <c r="N9" s="6">
        <v>92</v>
      </c>
      <c r="O9" s="1" t="s">
        <v>23</v>
      </c>
      <c r="P9" s="1">
        <v>3</v>
      </c>
      <c r="Q9" s="1" t="s">
        <v>23</v>
      </c>
      <c r="R9" s="6">
        <v>2</v>
      </c>
      <c r="S9" s="1">
        <v>5</v>
      </c>
      <c r="T9" s="1">
        <v>0</v>
      </c>
      <c r="U9" s="12" t="s">
        <v>22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30.07</v>
      </c>
      <c r="F10" s="6">
        <v>30.02</v>
      </c>
      <c r="G10" s="1">
        <v>49</v>
      </c>
      <c r="H10" s="1">
        <v>40.700000000000003</v>
      </c>
      <c r="I10" s="1">
        <v>31.4</v>
      </c>
      <c r="J10" s="6">
        <v>59</v>
      </c>
      <c r="K10" s="5">
        <v>0.20899999999999999</v>
      </c>
      <c r="L10" s="6">
        <v>0.22</v>
      </c>
      <c r="M10" s="1">
        <v>60</v>
      </c>
      <c r="N10" s="6">
        <v>87</v>
      </c>
      <c r="O10" s="1" t="s">
        <v>23</v>
      </c>
      <c r="P10" s="1">
        <v>3</v>
      </c>
      <c r="Q10" s="1" t="s">
        <v>23</v>
      </c>
      <c r="R10" s="6">
        <v>3</v>
      </c>
      <c r="S10" s="1">
        <v>1</v>
      </c>
      <c r="T10" s="1">
        <v>0</v>
      </c>
      <c r="U10" s="12" t="s">
        <v>22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29.81</v>
      </c>
      <c r="F11" s="6">
        <v>29.71</v>
      </c>
      <c r="G11" s="1">
        <v>50.7</v>
      </c>
      <c r="H11" s="1">
        <v>41</v>
      </c>
      <c r="I11" s="1">
        <v>31.9</v>
      </c>
      <c r="J11" s="6">
        <v>57.5</v>
      </c>
      <c r="K11" s="5">
        <v>0.23699999999999999</v>
      </c>
      <c r="L11" s="6">
        <v>0.22700000000000001</v>
      </c>
      <c r="M11" s="1">
        <v>65</v>
      </c>
      <c r="N11" s="6">
        <v>89</v>
      </c>
      <c r="O11" s="1" t="s">
        <v>23</v>
      </c>
      <c r="P11" s="1">
        <v>4</v>
      </c>
      <c r="Q11" s="1" t="s">
        <v>24</v>
      </c>
      <c r="R11" s="6">
        <v>5</v>
      </c>
      <c r="S11" s="1">
        <v>0</v>
      </c>
      <c r="T11" s="1">
        <v>10</v>
      </c>
      <c r="U11" s="12">
        <v>0.08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29.67</v>
      </c>
      <c r="F12" s="6">
        <v>29.66</v>
      </c>
      <c r="G12" s="1">
        <v>39.5</v>
      </c>
      <c r="H12" s="1">
        <v>38.5</v>
      </c>
      <c r="I12" s="1">
        <v>35.700000000000003</v>
      </c>
      <c r="J12" s="6">
        <v>42.5</v>
      </c>
      <c r="K12" s="5">
        <v>0.224</v>
      </c>
      <c r="L12" s="6">
        <v>0.19600000000000001</v>
      </c>
      <c r="M12" s="1">
        <v>93</v>
      </c>
      <c r="N12" s="6">
        <v>85</v>
      </c>
      <c r="O12" s="1" t="s">
        <v>24</v>
      </c>
      <c r="P12" s="1">
        <v>6</v>
      </c>
      <c r="Q12" s="1" t="s">
        <v>23</v>
      </c>
      <c r="R12" s="6">
        <v>8</v>
      </c>
      <c r="S12" s="1">
        <v>10</v>
      </c>
      <c r="T12" s="1">
        <v>10</v>
      </c>
      <c r="U12" s="12">
        <v>0.03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29.6</v>
      </c>
      <c r="F13" s="6">
        <v>29.71</v>
      </c>
      <c r="G13" s="1">
        <v>46</v>
      </c>
      <c r="H13" s="1">
        <v>38</v>
      </c>
      <c r="I13" s="1">
        <v>36.1</v>
      </c>
      <c r="J13" s="6">
        <v>49.8</v>
      </c>
      <c r="K13" s="5">
        <v>0.255</v>
      </c>
      <c r="L13" s="6">
        <v>0.19700000000000001</v>
      </c>
      <c r="M13" s="1">
        <v>83</v>
      </c>
      <c r="N13" s="6">
        <v>86</v>
      </c>
      <c r="O13" s="1" t="s">
        <v>24</v>
      </c>
      <c r="P13" s="1">
        <v>6</v>
      </c>
      <c r="Q13" s="1" t="s">
        <v>24</v>
      </c>
      <c r="R13" s="6">
        <v>2</v>
      </c>
      <c r="S13" s="1">
        <v>5</v>
      </c>
      <c r="T13" s="1">
        <v>3</v>
      </c>
      <c r="U13" s="12">
        <v>7.0000000000000007E-2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29.58</v>
      </c>
      <c r="F14" s="6">
        <v>29.57</v>
      </c>
      <c r="G14" s="1">
        <v>41.5</v>
      </c>
      <c r="H14" s="1">
        <v>42</v>
      </c>
      <c r="I14" s="1">
        <v>33.4</v>
      </c>
      <c r="J14" s="6">
        <v>49.2</v>
      </c>
      <c r="K14" s="5">
        <v>0.24199999999999999</v>
      </c>
      <c r="L14" s="6">
        <v>0.217</v>
      </c>
      <c r="M14" s="1">
        <v>93</v>
      </c>
      <c r="N14" s="6">
        <v>82</v>
      </c>
      <c r="O14" s="1" t="s">
        <v>27</v>
      </c>
      <c r="P14" s="1">
        <v>1</v>
      </c>
      <c r="Q14" s="1" t="s">
        <v>25</v>
      </c>
      <c r="R14" s="6">
        <v>4</v>
      </c>
      <c r="S14" s="1">
        <v>10</v>
      </c>
      <c r="T14" s="1">
        <v>10</v>
      </c>
      <c r="U14" s="12">
        <v>0.08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29.65</v>
      </c>
      <c r="F15" s="6">
        <v>29.73</v>
      </c>
      <c r="G15" s="1">
        <v>44</v>
      </c>
      <c r="H15" s="1">
        <v>42.5</v>
      </c>
      <c r="I15" s="1">
        <v>35.9</v>
      </c>
      <c r="J15" s="6">
        <v>49.8</v>
      </c>
      <c r="K15" s="5">
        <v>0.23499999999999999</v>
      </c>
      <c r="L15" s="6">
        <v>0.27</v>
      </c>
      <c r="M15" s="1">
        <v>81</v>
      </c>
      <c r="N15" s="6">
        <v>99</v>
      </c>
      <c r="O15" s="1" t="s">
        <v>25</v>
      </c>
      <c r="P15" s="1">
        <v>7</v>
      </c>
      <c r="Q15" s="1" t="s">
        <v>27</v>
      </c>
      <c r="R15" s="6">
        <v>4</v>
      </c>
      <c r="S15" s="1">
        <v>5</v>
      </c>
      <c r="T15" s="1">
        <v>7</v>
      </c>
      <c r="U15" s="12">
        <v>0.35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29.48</v>
      </c>
      <c r="F16" s="6">
        <v>29.58</v>
      </c>
      <c r="G16" s="1">
        <v>46.5</v>
      </c>
      <c r="H16" s="1">
        <v>52.5</v>
      </c>
      <c r="I16" s="1">
        <v>36.1</v>
      </c>
      <c r="J16" s="6">
        <v>58</v>
      </c>
      <c r="K16" s="5">
        <v>0.317</v>
      </c>
      <c r="L16" s="6">
        <v>0.39600000000000002</v>
      </c>
      <c r="M16" s="1">
        <v>100</v>
      </c>
      <c r="N16" s="6">
        <v>100</v>
      </c>
      <c r="O16" s="1" t="s">
        <v>29</v>
      </c>
      <c r="P16" s="1">
        <v>4</v>
      </c>
      <c r="Q16" s="1" t="s">
        <v>25</v>
      </c>
      <c r="R16" s="6">
        <v>5</v>
      </c>
      <c r="S16" s="1">
        <v>10</v>
      </c>
      <c r="T16" s="1">
        <v>10</v>
      </c>
      <c r="U16" s="12">
        <v>0.3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29.63</v>
      </c>
      <c r="F17" s="6">
        <v>29.75</v>
      </c>
      <c r="G17" s="1">
        <v>54.5</v>
      </c>
      <c r="H17" s="1">
        <v>51.5</v>
      </c>
      <c r="I17" s="1">
        <v>50.1</v>
      </c>
      <c r="J17" s="6">
        <v>60.5</v>
      </c>
      <c r="K17" s="5">
        <v>0.40400000000000003</v>
      </c>
      <c r="L17" s="6">
        <v>0.28399999999999997</v>
      </c>
      <c r="M17" s="1">
        <v>96</v>
      </c>
      <c r="N17" s="6">
        <v>75</v>
      </c>
      <c r="O17" s="1" t="s">
        <v>29</v>
      </c>
      <c r="P17" s="1">
        <v>4</v>
      </c>
      <c r="Q17" s="1" t="s">
        <v>25</v>
      </c>
      <c r="R17" s="6">
        <v>6</v>
      </c>
      <c r="S17" s="1">
        <v>10</v>
      </c>
      <c r="T17" s="1">
        <v>2</v>
      </c>
      <c r="U17" s="12">
        <v>0.02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29.78</v>
      </c>
      <c r="F18" s="6">
        <v>29.87</v>
      </c>
      <c r="G18" s="1">
        <v>55.5</v>
      </c>
      <c r="H18" s="1">
        <v>48</v>
      </c>
      <c r="I18" s="1">
        <v>48</v>
      </c>
      <c r="J18" s="6">
        <v>60</v>
      </c>
      <c r="K18" s="5">
        <v>0.32200000000000001</v>
      </c>
      <c r="L18" s="6">
        <v>0.221</v>
      </c>
      <c r="M18" s="1">
        <v>74</v>
      </c>
      <c r="N18" s="6">
        <v>66</v>
      </c>
      <c r="O18" s="1" t="s">
        <v>25</v>
      </c>
      <c r="P18" s="1">
        <v>6</v>
      </c>
      <c r="Q18" s="1" t="s">
        <v>25</v>
      </c>
      <c r="R18" s="6">
        <v>4</v>
      </c>
      <c r="S18" s="1">
        <v>5</v>
      </c>
      <c r="T18" s="1">
        <v>3</v>
      </c>
      <c r="U18" s="12" t="s">
        <v>22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30.08</v>
      </c>
      <c r="F19" s="6">
        <v>30.26</v>
      </c>
      <c r="G19" s="1">
        <v>52</v>
      </c>
      <c r="H19" s="1">
        <v>49.3</v>
      </c>
      <c r="I19" s="1">
        <v>40.9</v>
      </c>
      <c r="J19" s="6">
        <v>62</v>
      </c>
      <c r="K19" s="5">
        <v>0.35099999999999998</v>
      </c>
      <c r="L19" s="6">
        <v>0.307</v>
      </c>
      <c r="M19" s="1">
        <v>90</v>
      </c>
      <c r="N19" s="6">
        <v>88</v>
      </c>
      <c r="O19" s="1" t="s">
        <v>26</v>
      </c>
      <c r="P19" s="1">
        <v>2</v>
      </c>
      <c r="Q19" s="1" t="s">
        <v>23</v>
      </c>
      <c r="R19" s="6">
        <v>2</v>
      </c>
      <c r="S19" s="1">
        <v>8</v>
      </c>
      <c r="T19" s="1">
        <v>3</v>
      </c>
      <c r="U19" s="12" t="s">
        <v>22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30.37</v>
      </c>
      <c r="F20" s="6">
        <v>30.4</v>
      </c>
      <c r="G20" s="1">
        <v>51.5</v>
      </c>
      <c r="H20" s="1">
        <v>49.5</v>
      </c>
      <c r="I20" s="1">
        <v>39.700000000000003</v>
      </c>
      <c r="J20" s="6">
        <v>62.8</v>
      </c>
      <c r="K20" s="5">
        <v>0.35699999999999998</v>
      </c>
      <c r="L20" s="6">
        <v>0.28299999999999997</v>
      </c>
      <c r="M20" s="1">
        <v>94</v>
      </c>
      <c r="N20" s="6">
        <v>81</v>
      </c>
      <c r="O20" s="1" t="s">
        <v>33</v>
      </c>
      <c r="P20" s="1">
        <v>0</v>
      </c>
      <c r="Q20" s="1" t="s">
        <v>23</v>
      </c>
      <c r="R20" s="6">
        <v>3</v>
      </c>
      <c r="S20" s="1">
        <v>1</v>
      </c>
      <c r="T20" s="1">
        <v>0</v>
      </c>
      <c r="U20" s="12" t="s">
        <v>22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30.38</v>
      </c>
      <c r="F21" s="6">
        <v>30.34</v>
      </c>
      <c r="G21" s="1">
        <v>57.5</v>
      </c>
      <c r="H21" s="1">
        <v>48.5</v>
      </c>
      <c r="I21" s="1">
        <v>36.9</v>
      </c>
      <c r="J21" s="6">
        <v>62</v>
      </c>
      <c r="K21" s="5">
        <v>0.45300000000000001</v>
      </c>
      <c r="L21" s="6">
        <v>0.27100000000000002</v>
      </c>
      <c r="M21" s="1">
        <v>96</v>
      </c>
      <c r="N21" s="6">
        <v>80</v>
      </c>
      <c r="O21" s="1" t="s">
        <v>26</v>
      </c>
      <c r="P21" s="1">
        <v>2</v>
      </c>
      <c r="Q21" s="1" t="s">
        <v>26</v>
      </c>
      <c r="R21" s="6">
        <v>2</v>
      </c>
      <c r="S21" s="1">
        <v>0</v>
      </c>
      <c r="T21" s="1">
        <v>2</v>
      </c>
      <c r="U21" s="12" t="s">
        <v>22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30.25</v>
      </c>
      <c r="F22" s="6">
        <v>30.01</v>
      </c>
      <c r="G22" s="1">
        <v>50</v>
      </c>
      <c r="H22" s="1">
        <v>48</v>
      </c>
      <c r="I22" s="1">
        <v>41.7</v>
      </c>
      <c r="J22" s="6">
        <v>60</v>
      </c>
      <c r="K22" s="5">
        <v>0.30099999999999999</v>
      </c>
      <c r="L22" s="6">
        <v>0.30499999999999999</v>
      </c>
      <c r="M22" s="1">
        <v>84</v>
      </c>
      <c r="N22" s="6">
        <v>92</v>
      </c>
      <c r="O22" s="1" t="s">
        <v>25</v>
      </c>
      <c r="P22" s="1">
        <v>4</v>
      </c>
      <c r="Q22" s="1" t="s">
        <v>25</v>
      </c>
      <c r="R22" s="6">
        <v>4</v>
      </c>
      <c r="S22" s="1">
        <v>3</v>
      </c>
      <c r="T22" s="1">
        <v>10</v>
      </c>
      <c r="U22" s="12" t="s">
        <v>22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29.97</v>
      </c>
      <c r="F23" s="6">
        <v>30</v>
      </c>
      <c r="G23" s="1">
        <v>55.2</v>
      </c>
      <c r="H23" s="1">
        <v>49.5</v>
      </c>
      <c r="I23" s="1">
        <v>42.1</v>
      </c>
      <c r="J23" s="6">
        <v>65</v>
      </c>
      <c r="K23" s="5">
        <v>0.318</v>
      </c>
      <c r="L23" s="6">
        <v>0.35499999999999998</v>
      </c>
      <c r="M23" s="1">
        <v>73</v>
      </c>
      <c r="N23" s="6">
        <v>100</v>
      </c>
      <c r="O23" s="1" t="s">
        <v>26</v>
      </c>
      <c r="P23" s="1">
        <v>1</v>
      </c>
      <c r="Q23" s="1" t="s">
        <v>26</v>
      </c>
      <c r="R23" s="6">
        <v>1</v>
      </c>
      <c r="S23" s="1">
        <v>5</v>
      </c>
      <c r="T23" s="1">
        <v>10</v>
      </c>
      <c r="U23" s="12" t="s">
        <v>22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30.02</v>
      </c>
      <c r="F24" s="6">
        <v>30.08</v>
      </c>
      <c r="G24" s="1">
        <v>53.5</v>
      </c>
      <c r="H24" s="1">
        <v>48.5</v>
      </c>
      <c r="I24" s="1">
        <v>43.9</v>
      </c>
      <c r="J24" s="6">
        <v>61.2</v>
      </c>
      <c r="K24" s="5">
        <v>0.39900000000000002</v>
      </c>
      <c r="L24" s="6">
        <v>0.27100000000000002</v>
      </c>
      <c r="M24" s="1">
        <v>98</v>
      </c>
      <c r="N24" s="6">
        <v>80</v>
      </c>
      <c r="O24" s="1" t="s">
        <v>33</v>
      </c>
      <c r="P24" s="1">
        <v>0</v>
      </c>
      <c r="Q24" s="1" t="s">
        <v>23</v>
      </c>
      <c r="R24" s="6">
        <v>2</v>
      </c>
      <c r="S24" s="1">
        <v>10</v>
      </c>
      <c r="T24" s="1">
        <v>4</v>
      </c>
      <c r="U24" s="12" t="s">
        <v>22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30.13</v>
      </c>
      <c r="F25" s="6">
        <v>30.12</v>
      </c>
      <c r="G25" s="1">
        <v>50</v>
      </c>
      <c r="H25" s="1">
        <v>51.5</v>
      </c>
      <c r="I25" s="1">
        <v>38.1</v>
      </c>
      <c r="J25" s="6">
        <v>58</v>
      </c>
      <c r="K25" s="5">
        <v>0.36099999999999999</v>
      </c>
      <c r="L25" s="6">
        <v>0.35699999999999998</v>
      </c>
      <c r="M25" s="1">
        <v>100</v>
      </c>
      <c r="N25" s="6">
        <v>94</v>
      </c>
      <c r="O25" s="1" t="s">
        <v>23</v>
      </c>
      <c r="P25" s="1">
        <v>1</v>
      </c>
      <c r="Q25" s="1" t="s">
        <v>33</v>
      </c>
      <c r="R25" s="6">
        <v>0</v>
      </c>
      <c r="S25" s="1">
        <v>10</v>
      </c>
      <c r="T25" s="1">
        <v>10</v>
      </c>
      <c r="U25" s="12">
        <v>0.02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30.04</v>
      </c>
      <c r="F26" s="6">
        <v>30.08</v>
      </c>
      <c r="G26" s="1">
        <v>59.5</v>
      </c>
      <c r="H26" s="1">
        <v>50.5</v>
      </c>
      <c r="I26" s="1">
        <v>45.7</v>
      </c>
      <c r="J26" s="6">
        <v>65.2</v>
      </c>
      <c r="K26" s="5">
        <v>0.42399999999999999</v>
      </c>
      <c r="L26" s="6">
        <v>0.33900000000000002</v>
      </c>
      <c r="M26" s="1">
        <v>84</v>
      </c>
      <c r="N26" s="6">
        <v>93</v>
      </c>
      <c r="O26" s="1" t="s">
        <v>25</v>
      </c>
      <c r="P26" s="1">
        <v>3</v>
      </c>
      <c r="Q26" s="1" t="s">
        <v>26</v>
      </c>
      <c r="R26" s="6" t="s">
        <v>22</v>
      </c>
      <c r="S26" s="1">
        <v>4</v>
      </c>
      <c r="T26" s="1">
        <v>2</v>
      </c>
      <c r="U26" s="12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30.05</v>
      </c>
      <c r="F27" s="6">
        <v>30.01</v>
      </c>
      <c r="G27" s="1">
        <v>56</v>
      </c>
      <c r="H27" s="1">
        <v>52</v>
      </c>
      <c r="I27" s="1">
        <v>45</v>
      </c>
      <c r="J27" s="6">
        <v>61.5</v>
      </c>
      <c r="K27" s="5">
        <v>0.29299999999999998</v>
      </c>
      <c r="L27" s="6">
        <v>0.32500000000000001</v>
      </c>
      <c r="M27" s="1">
        <v>65</v>
      </c>
      <c r="N27" s="6">
        <v>84</v>
      </c>
      <c r="O27" s="1" t="s">
        <v>25</v>
      </c>
      <c r="P27" s="1">
        <v>6</v>
      </c>
      <c r="Q27" s="1" t="s">
        <v>25</v>
      </c>
      <c r="R27" s="6">
        <v>3</v>
      </c>
      <c r="S27" s="1">
        <v>4</v>
      </c>
      <c r="T27" s="1">
        <v>5</v>
      </c>
      <c r="U27" s="12" t="s">
        <v>22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30</v>
      </c>
      <c r="F28" s="6">
        <v>29.94</v>
      </c>
      <c r="G28" s="1">
        <v>54</v>
      </c>
      <c r="H28" s="1">
        <v>53</v>
      </c>
      <c r="I28" s="1">
        <v>42.4</v>
      </c>
      <c r="J28" s="6">
        <v>62</v>
      </c>
      <c r="K28" s="5">
        <v>0.35099999999999998</v>
      </c>
      <c r="L28" s="6">
        <v>0.33800000000000002</v>
      </c>
      <c r="M28" s="1">
        <v>84</v>
      </c>
      <c r="N28" s="6">
        <v>84</v>
      </c>
      <c r="O28" s="1" t="s">
        <v>25</v>
      </c>
      <c r="P28" s="1">
        <v>3</v>
      </c>
      <c r="Q28" s="1" t="s">
        <v>26</v>
      </c>
      <c r="R28" s="6">
        <v>4</v>
      </c>
      <c r="S28" s="1">
        <v>6</v>
      </c>
      <c r="T28" s="1">
        <v>10</v>
      </c>
      <c r="U28" s="12" t="s">
        <v>22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29.84</v>
      </c>
      <c r="F29" s="6">
        <v>29.69</v>
      </c>
      <c r="G29" s="1">
        <v>59</v>
      </c>
      <c r="H29" s="1">
        <v>51.5</v>
      </c>
      <c r="I29" s="1">
        <v>49.4</v>
      </c>
      <c r="J29" s="6">
        <v>65</v>
      </c>
      <c r="K29" s="5">
        <v>0.32200000000000001</v>
      </c>
      <c r="L29" s="6">
        <v>0.33100000000000002</v>
      </c>
      <c r="M29" s="1">
        <v>64</v>
      </c>
      <c r="N29" s="6">
        <v>87</v>
      </c>
      <c r="O29" s="1" t="s">
        <v>25</v>
      </c>
      <c r="P29" s="1">
        <v>4</v>
      </c>
      <c r="Q29" s="1" t="s">
        <v>33</v>
      </c>
      <c r="R29" s="6">
        <v>0</v>
      </c>
      <c r="S29" s="1">
        <v>5</v>
      </c>
      <c r="T29" s="1">
        <v>5</v>
      </c>
      <c r="U29" s="12" t="s">
        <v>22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29.64</v>
      </c>
      <c r="F30" s="6">
        <v>29.78</v>
      </c>
      <c r="G30" s="1">
        <v>55</v>
      </c>
      <c r="H30" s="1">
        <v>47.5</v>
      </c>
      <c r="I30" s="1">
        <v>46.2</v>
      </c>
      <c r="J30" s="6">
        <v>65</v>
      </c>
      <c r="K30" s="5">
        <v>0.33900000000000002</v>
      </c>
      <c r="L30" s="6">
        <v>0.222</v>
      </c>
      <c r="M30" s="1">
        <v>79</v>
      </c>
      <c r="N30" s="6">
        <v>68</v>
      </c>
      <c r="O30" s="1" t="s">
        <v>26</v>
      </c>
      <c r="P30" s="1">
        <v>2</v>
      </c>
      <c r="Q30" s="1" t="s">
        <v>33</v>
      </c>
      <c r="R30" s="6">
        <v>0</v>
      </c>
      <c r="S30" s="1">
        <v>10</v>
      </c>
      <c r="T30" s="1">
        <v>4</v>
      </c>
      <c r="U30" s="12" t="s">
        <v>22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29.89</v>
      </c>
      <c r="F31" s="6">
        <v>29.93</v>
      </c>
      <c r="G31" s="1">
        <v>52.5</v>
      </c>
      <c r="H31" s="1">
        <v>49.5</v>
      </c>
      <c r="I31" s="1">
        <v>33.9</v>
      </c>
      <c r="J31" s="6">
        <v>62</v>
      </c>
      <c r="K31" s="5">
        <v>0.23499999999999999</v>
      </c>
      <c r="L31" s="6">
        <v>0.24099999999999999</v>
      </c>
      <c r="M31" s="1">
        <v>60</v>
      </c>
      <c r="N31" s="6">
        <v>69</v>
      </c>
      <c r="O31" s="1" t="s">
        <v>25</v>
      </c>
      <c r="P31" s="1">
        <v>2</v>
      </c>
      <c r="Q31" s="1" t="s">
        <v>25</v>
      </c>
      <c r="R31" s="6">
        <v>1</v>
      </c>
      <c r="S31" s="1">
        <v>1</v>
      </c>
      <c r="T31" s="1">
        <v>0</v>
      </c>
      <c r="U31" s="12">
        <v>0.01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29.78</v>
      </c>
      <c r="F32" s="6">
        <v>29.78</v>
      </c>
      <c r="G32" s="1">
        <v>53</v>
      </c>
      <c r="H32" s="1">
        <v>57</v>
      </c>
      <c r="I32" s="1">
        <v>45.5</v>
      </c>
      <c r="J32" s="6">
        <v>60</v>
      </c>
      <c r="K32" s="5">
        <v>0.33800000000000002</v>
      </c>
      <c r="L32" s="6">
        <v>0.43099999999999999</v>
      </c>
      <c r="M32" s="1">
        <v>84</v>
      </c>
      <c r="N32" s="6">
        <v>92</v>
      </c>
      <c r="O32" s="1" t="s">
        <v>29</v>
      </c>
      <c r="P32" s="1">
        <v>6</v>
      </c>
      <c r="Q32" s="1" t="s">
        <v>29</v>
      </c>
      <c r="R32" s="6">
        <v>3</v>
      </c>
      <c r="S32" s="1">
        <v>10</v>
      </c>
      <c r="T32" s="1">
        <v>10</v>
      </c>
      <c r="U32" s="12">
        <v>0.13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29.81</v>
      </c>
      <c r="F33" s="6">
        <v>29.93</v>
      </c>
      <c r="G33" s="1">
        <v>55.5</v>
      </c>
      <c r="H33" s="1">
        <v>47</v>
      </c>
      <c r="I33" s="1">
        <v>46.9</v>
      </c>
      <c r="J33" s="6">
        <v>61</v>
      </c>
      <c r="K33" s="5">
        <v>0.317</v>
      </c>
      <c r="L33" s="6">
        <v>0.32300000000000001</v>
      </c>
      <c r="M33" s="1">
        <v>73</v>
      </c>
      <c r="N33" s="6">
        <v>100</v>
      </c>
      <c r="O33" s="1" t="s">
        <v>25</v>
      </c>
      <c r="P33" s="1">
        <v>5</v>
      </c>
      <c r="Q33" s="1" t="s">
        <v>25</v>
      </c>
      <c r="R33" s="6">
        <v>4</v>
      </c>
      <c r="S33" s="1">
        <v>6</v>
      </c>
      <c r="T33" s="1">
        <v>2</v>
      </c>
      <c r="U33" s="12" t="s">
        <v>22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30.12</v>
      </c>
      <c r="F34" s="6">
        <v>30.23</v>
      </c>
      <c r="G34" s="1">
        <v>53</v>
      </c>
      <c r="H34" s="1">
        <v>48.5</v>
      </c>
      <c r="I34" s="1">
        <v>43.1</v>
      </c>
      <c r="J34" s="6">
        <v>62.5</v>
      </c>
      <c r="K34" s="5">
        <v>0.36399999999999999</v>
      </c>
      <c r="L34" s="6">
        <v>0.318</v>
      </c>
      <c r="M34" s="1">
        <v>90</v>
      </c>
      <c r="N34" s="6">
        <v>94</v>
      </c>
      <c r="O34" s="1" t="s">
        <v>25</v>
      </c>
      <c r="P34" s="1">
        <v>1</v>
      </c>
      <c r="Q34" s="1" t="s">
        <v>33</v>
      </c>
      <c r="R34" s="6">
        <v>0</v>
      </c>
      <c r="S34" s="1">
        <v>5</v>
      </c>
      <c r="T34" s="1">
        <v>8</v>
      </c>
      <c r="U34" s="12" t="s">
        <v>22</v>
      </c>
    </row>
    <row r="35" spans="1:21" s="1" customFormat="1">
      <c r="A35" s="5" t="s">
        <v>45</v>
      </c>
      <c r="B35" s="1">
        <v>1883</v>
      </c>
      <c r="C35" s="1" t="s">
        <v>20</v>
      </c>
      <c r="D35" s="8">
        <v>31</v>
      </c>
      <c r="E35" s="7">
        <v>30.07</v>
      </c>
      <c r="F35" s="9">
        <v>30.03</v>
      </c>
      <c r="G35" s="8">
        <v>55.5</v>
      </c>
      <c r="H35" s="8">
        <v>53</v>
      </c>
      <c r="I35" s="8">
        <v>43.4</v>
      </c>
      <c r="J35" s="9">
        <v>60.5</v>
      </c>
      <c r="K35" s="7">
        <v>0.38500000000000001</v>
      </c>
      <c r="L35" s="9">
        <v>0.40300000000000002</v>
      </c>
      <c r="M35" s="8">
        <v>88</v>
      </c>
      <c r="N35" s="9">
        <v>100</v>
      </c>
      <c r="O35" s="8" t="s">
        <v>25</v>
      </c>
      <c r="P35" s="8">
        <v>4</v>
      </c>
      <c r="Q35" s="8" t="s">
        <v>25</v>
      </c>
      <c r="R35" s="9">
        <v>2</v>
      </c>
      <c r="S35" s="8">
        <v>10</v>
      </c>
      <c r="T35" s="8">
        <v>10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29.922000000000001</v>
      </c>
      <c r="F36" s="16">
        <v>29.943000000000001</v>
      </c>
      <c r="G36" s="14">
        <v>50.9</v>
      </c>
      <c r="H36" s="15">
        <v>46.6</v>
      </c>
      <c r="I36" s="15">
        <v>39.700000000000003</v>
      </c>
      <c r="J36" s="16">
        <v>58</v>
      </c>
      <c r="K36" s="15">
        <v>0.311</v>
      </c>
      <c r="L36" s="15">
        <v>0.28199999999999997</v>
      </c>
      <c r="M36" s="14">
        <v>82.8</v>
      </c>
      <c r="N36" s="16">
        <v>87.5</v>
      </c>
      <c r="O36" s="14" t="s">
        <v>22</v>
      </c>
      <c r="P36" s="15">
        <v>3.5</v>
      </c>
      <c r="Q36" s="15" t="s">
        <v>22</v>
      </c>
      <c r="R36" s="16">
        <v>2.8</v>
      </c>
      <c r="S36" s="14">
        <v>6</v>
      </c>
      <c r="T36" s="16">
        <v>5.9</v>
      </c>
      <c r="U36" s="17">
        <v>1.18</v>
      </c>
    </row>
    <row r="37" spans="1:21">
      <c r="F37">
        <f>SUM(F5:F35)/31</f>
        <v>29.943870967741937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7"/>
  <sheetViews>
    <sheetView topLeftCell="C25" workbookViewId="0">
      <selection activeCell="I38" sqref="I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29.89</v>
      </c>
      <c r="F5" s="6">
        <v>29.95</v>
      </c>
      <c r="G5" s="1">
        <v>48.6</v>
      </c>
      <c r="H5" s="1">
        <v>42.8</v>
      </c>
      <c r="I5" s="1">
        <v>41.6</v>
      </c>
      <c r="J5" s="6">
        <v>49.5</v>
      </c>
      <c r="K5" s="5">
        <v>0.27100000000000002</v>
      </c>
      <c r="L5" s="6">
        <v>0.24399999999999999</v>
      </c>
      <c r="M5" s="1">
        <v>79</v>
      </c>
      <c r="N5" s="6">
        <v>89</v>
      </c>
      <c r="O5" s="1" t="s">
        <v>35</v>
      </c>
      <c r="P5" s="1">
        <v>2</v>
      </c>
      <c r="Q5" s="1" t="s">
        <v>35</v>
      </c>
      <c r="R5" s="6">
        <v>3</v>
      </c>
      <c r="S5" s="1">
        <v>3</v>
      </c>
      <c r="T5" s="1">
        <v>10</v>
      </c>
      <c r="U5" s="12">
        <v>0.01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29.93</v>
      </c>
      <c r="F6" s="6">
        <v>29.9</v>
      </c>
      <c r="G6" s="1">
        <v>45</v>
      </c>
      <c r="H6" s="1">
        <v>41</v>
      </c>
      <c r="I6" s="1">
        <v>39.5</v>
      </c>
      <c r="J6" s="6">
        <v>46.5</v>
      </c>
      <c r="K6" s="5">
        <v>0.22</v>
      </c>
      <c r="L6" s="6">
        <v>0.219</v>
      </c>
      <c r="M6" s="1">
        <v>74</v>
      </c>
      <c r="N6" s="6">
        <v>86</v>
      </c>
      <c r="O6" s="1" t="s">
        <v>28</v>
      </c>
      <c r="P6" s="1">
        <v>3</v>
      </c>
      <c r="Q6" s="1" t="s">
        <v>28</v>
      </c>
      <c r="R6" s="6">
        <v>3</v>
      </c>
      <c r="S6" s="1">
        <v>8</v>
      </c>
      <c r="T6" s="1">
        <v>9</v>
      </c>
      <c r="U6" s="12">
        <v>0.02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29.84</v>
      </c>
      <c r="F7" s="6">
        <v>29.89</v>
      </c>
      <c r="G7" s="1">
        <v>43.7</v>
      </c>
      <c r="H7" s="1">
        <v>36.700000000000003</v>
      </c>
      <c r="I7" s="1">
        <v>36.200000000000003</v>
      </c>
      <c r="J7" s="6">
        <v>45.5</v>
      </c>
      <c r="K7" s="5">
        <v>0.21099999999999999</v>
      </c>
      <c r="L7" s="6">
        <v>0.192</v>
      </c>
      <c r="M7" s="1">
        <v>74</v>
      </c>
      <c r="N7" s="6">
        <v>89</v>
      </c>
      <c r="O7" s="1" t="s">
        <v>28</v>
      </c>
      <c r="P7" s="1">
        <v>2</v>
      </c>
      <c r="Q7" s="1" t="s">
        <v>28</v>
      </c>
      <c r="R7" s="6">
        <v>2</v>
      </c>
      <c r="S7" s="1">
        <v>6</v>
      </c>
      <c r="T7" s="1">
        <v>8</v>
      </c>
      <c r="U7" s="12">
        <v>0.06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29.9</v>
      </c>
      <c r="F8" s="6">
        <v>29.97</v>
      </c>
      <c r="G8" s="1">
        <v>44.6</v>
      </c>
      <c r="H8" s="1">
        <v>40.5</v>
      </c>
      <c r="I8" s="1">
        <v>35.1</v>
      </c>
      <c r="J8" s="6">
        <v>45.1</v>
      </c>
      <c r="K8" s="5">
        <v>0.19600000000000001</v>
      </c>
      <c r="L8" s="6">
        <v>0.186</v>
      </c>
      <c r="M8" s="1">
        <v>66</v>
      </c>
      <c r="N8" s="6">
        <v>74</v>
      </c>
      <c r="O8" s="1" t="s">
        <v>28</v>
      </c>
      <c r="P8" s="1">
        <v>2</v>
      </c>
      <c r="Q8" s="1" t="s">
        <v>28</v>
      </c>
      <c r="R8" s="6">
        <v>2</v>
      </c>
      <c r="S8" s="1">
        <v>5</v>
      </c>
      <c r="T8" s="1">
        <v>5</v>
      </c>
      <c r="U8" s="12">
        <v>0.01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29.96</v>
      </c>
      <c r="F9" s="6">
        <v>30.02</v>
      </c>
      <c r="G9" s="1">
        <v>41.5</v>
      </c>
      <c r="H9" s="1">
        <v>42</v>
      </c>
      <c r="I9" s="1">
        <v>39</v>
      </c>
      <c r="J9" s="6">
        <v>42.7</v>
      </c>
      <c r="K9" s="5">
        <v>0.19600000000000001</v>
      </c>
      <c r="L9" s="6">
        <v>0.22</v>
      </c>
      <c r="M9" s="1">
        <v>76</v>
      </c>
      <c r="N9" s="6">
        <v>84</v>
      </c>
      <c r="O9" s="1" t="s">
        <v>28</v>
      </c>
      <c r="P9" s="1">
        <v>3</v>
      </c>
      <c r="Q9" s="1" t="s">
        <v>28</v>
      </c>
      <c r="R9" s="6">
        <v>1</v>
      </c>
      <c r="S9" s="1">
        <v>8</v>
      </c>
      <c r="T9" s="1">
        <v>10</v>
      </c>
      <c r="U9" s="12">
        <v>0.03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30.05</v>
      </c>
      <c r="F10" s="6">
        <v>30.05</v>
      </c>
      <c r="G10" s="1">
        <v>46.6</v>
      </c>
      <c r="H10" s="1">
        <v>42.3</v>
      </c>
      <c r="I10" s="1">
        <v>40.4</v>
      </c>
      <c r="J10" s="6">
        <v>49.1</v>
      </c>
      <c r="K10" s="5">
        <v>0.25600000000000001</v>
      </c>
      <c r="L10" s="6">
        <v>0.245</v>
      </c>
      <c r="M10" s="1">
        <v>81</v>
      </c>
      <c r="N10" s="6">
        <v>92</v>
      </c>
      <c r="O10" s="1" t="s">
        <v>28</v>
      </c>
      <c r="P10" s="1">
        <v>2</v>
      </c>
      <c r="Q10" s="1" t="s">
        <v>28</v>
      </c>
      <c r="R10" s="6">
        <v>2</v>
      </c>
      <c r="S10" s="1">
        <v>4</v>
      </c>
      <c r="T10" s="1">
        <v>0</v>
      </c>
      <c r="U10" s="12" t="s">
        <v>22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29.86</v>
      </c>
      <c r="F11" s="6">
        <v>29.71</v>
      </c>
      <c r="G11" s="1">
        <v>48.1</v>
      </c>
      <c r="H11" s="1">
        <v>43</v>
      </c>
      <c r="I11" s="1">
        <v>40.1</v>
      </c>
      <c r="J11" s="6">
        <v>49.1</v>
      </c>
      <c r="K11" s="5">
        <v>0.26100000000000001</v>
      </c>
      <c r="L11" s="6">
        <v>0.24</v>
      </c>
      <c r="M11" s="1">
        <v>77</v>
      </c>
      <c r="N11" s="6">
        <v>86</v>
      </c>
      <c r="O11" s="1" t="s">
        <v>35</v>
      </c>
      <c r="P11" s="1">
        <v>2</v>
      </c>
      <c r="Q11" s="1" t="s">
        <v>35</v>
      </c>
      <c r="R11" s="6">
        <v>2</v>
      </c>
      <c r="S11" s="1">
        <v>2</v>
      </c>
      <c r="T11" s="1">
        <v>9</v>
      </c>
      <c r="U11" s="12">
        <v>0.03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29.64</v>
      </c>
      <c r="F12" s="6">
        <v>29.6</v>
      </c>
      <c r="G12" s="1">
        <v>41.6</v>
      </c>
      <c r="H12" s="1">
        <v>40.700000000000003</v>
      </c>
      <c r="I12" s="1">
        <v>39.5</v>
      </c>
      <c r="J12" s="6">
        <v>43.1</v>
      </c>
      <c r="K12" s="5">
        <v>0.25600000000000001</v>
      </c>
      <c r="L12" s="6">
        <v>0.23699999999999999</v>
      </c>
      <c r="M12" s="1">
        <v>97</v>
      </c>
      <c r="N12" s="6">
        <v>93</v>
      </c>
      <c r="O12" s="1" t="s">
        <v>35</v>
      </c>
      <c r="P12" s="1">
        <v>2</v>
      </c>
      <c r="Q12" s="1" t="s">
        <v>24</v>
      </c>
      <c r="R12" s="6">
        <v>2</v>
      </c>
      <c r="S12" s="1">
        <v>10</v>
      </c>
      <c r="T12" s="1">
        <v>10</v>
      </c>
      <c r="U12" s="12">
        <v>0.64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29.57</v>
      </c>
      <c r="F13" s="6">
        <v>29.61</v>
      </c>
      <c r="G13" s="1">
        <v>40.6</v>
      </c>
      <c r="H13" s="1">
        <v>39.799999999999997</v>
      </c>
      <c r="I13" s="1">
        <v>37.5</v>
      </c>
      <c r="J13" s="6">
        <v>42.3</v>
      </c>
      <c r="K13" s="5">
        <v>0.22500000000000001</v>
      </c>
      <c r="L13" s="6">
        <v>0.22</v>
      </c>
      <c r="M13" s="1">
        <v>89</v>
      </c>
      <c r="N13" s="6">
        <v>91</v>
      </c>
      <c r="O13" s="1" t="s">
        <v>28</v>
      </c>
      <c r="P13" s="1">
        <v>3</v>
      </c>
      <c r="Q13" s="1" t="s">
        <v>35</v>
      </c>
      <c r="R13" s="6">
        <v>2</v>
      </c>
      <c r="S13" s="1">
        <v>10</v>
      </c>
      <c r="T13" s="1">
        <v>10</v>
      </c>
      <c r="U13" s="12">
        <v>0.15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29.53</v>
      </c>
      <c r="F14" s="6">
        <v>29.6</v>
      </c>
      <c r="G14" s="1">
        <v>41.5</v>
      </c>
      <c r="H14" s="1">
        <v>39.5</v>
      </c>
      <c r="I14" s="1">
        <v>38.1</v>
      </c>
      <c r="J14" s="6">
        <v>41.7</v>
      </c>
      <c r="K14" s="5">
        <v>0.23400000000000001</v>
      </c>
      <c r="L14" s="6">
        <v>0.216</v>
      </c>
      <c r="M14" s="1">
        <v>90</v>
      </c>
      <c r="N14" s="6">
        <v>90</v>
      </c>
      <c r="O14" s="1" t="s">
        <v>27</v>
      </c>
      <c r="P14" s="1">
        <v>2</v>
      </c>
      <c r="Q14" s="1" t="s">
        <v>27</v>
      </c>
      <c r="R14" s="6">
        <v>1</v>
      </c>
      <c r="S14" s="1">
        <v>10</v>
      </c>
      <c r="T14" s="1">
        <v>3</v>
      </c>
      <c r="U14" s="12">
        <v>0.26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29.71</v>
      </c>
      <c r="F15" s="6">
        <v>29.78</v>
      </c>
      <c r="G15" s="1">
        <v>48.1</v>
      </c>
      <c r="H15" s="1">
        <v>43.5</v>
      </c>
      <c r="I15" s="1">
        <v>36.299999999999997</v>
      </c>
      <c r="J15" s="6">
        <v>52.1</v>
      </c>
      <c r="K15" s="5">
        <v>0.20399999999999999</v>
      </c>
      <c r="L15" s="6">
        <v>0.19</v>
      </c>
      <c r="M15" s="1">
        <v>62</v>
      </c>
      <c r="N15" s="6">
        <v>67</v>
      </c>
      <c r="O15" s="1" t="s">
        <v>36</v>
      </c>
      <c r="P15" s="1">
        <v>3</v>
      </c>
      <c r="Q15" s="1" t="s">
        <v>36</v>
      </c>
      <c r="R15" s="6">
        <v>1</v>
      </c>
      <c r="S15" s="1">
        <v>4</v>
      </c>
      <c r="T15" s="1">
        <v>2</v>
      </c>
      <c r="U15" s="12">
        <v>0.06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29.65</v>
      </c>
      <c r="F16" s="6">
        <v>29.69</v>
      </c>
      <c r="G16" s="1">
        <v>45</v>
      </c>
      <c r="H16" s="1">
        <v>55.5</v>
      </c>
      <c r="I16" s="1">
        <v>38</v>
      </c>
      <c r="J16" s="6">
        <v>61.5</v>
      </c>
      <c r="K16" s="5">
        <v>0.28299999999999997</v>
      </c>
      <c r="L16" s="6">
        <v>0.35799999999999998</v>
      </c>
      <c r="M16" s="1">
        <v>94</v>
      </c>
      <c r="N16" s="6">
        <v>82</v>
      </c>
      <c r="O16" s="1" t="s">
        <v>21</v>
      </c>
      <c r="P16" s="1">
        <v>3</v>
      </c>
      <c r="Q16" s="1" t="s">
        <v>29</v>
      </c>
      <c r="R16" s="6">
        <v>2</v>
      </c>
      <c r="S16" s="1">
        <v>10</v>
      </c>
      <c r="T16" s="1">
        <v>10</v>
      </c>
      <c r="U16" s="12">
        <v>0.08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29.78</v>
      </c>
      <c r="F17" s="6">
        <v>29.81</v>
      </c>
      <c r="G17" s="1">
        <v>55</v>
      </c>
      <c r="H17" s="1">
        <v>56.6</v>
      </c>
      <c r="I17" s="1">
        <v>53.5</v>
      </c>
      <c r="J17" s="6">
        <v>62.8</v>
      </c>
      <c r="K17" s="5">
        <v>0.373</v>
      </c>
      <c r="L17" s="6">
        <v>0.35799999999999998</v>
      </c>
      <c r="M17" s="1">
        <v>86</v>
      </c>
      <c r="N17" s="6">
        <v>78</v>
      </c>
      <c r="O17" s="1" t="s">
        <v>29</v>
      </c>
      <c r="P17" s="1">
        <v>2</v>
      </c>
      <c r="Q17" s="1" t="s">
        <v>39</v>
      </c>
      <c r="R17" s="6">
        <v>3</v>
      </c>
      <c r="S17" s="1">
        <v>9</v>
      </c>
      <c r="T17" s="1">
        <v>10</v>
      </c>
      <c r="U17" s="12">
        <v>0.01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29.84</v>
      </c>
      <c r="F18" s="6">
        <v>29.89</v>
      </c>
      <c r="G18" s="1">
        <v>55.8</v>
      </c>
      <c r="H18" s="1">
        <v>55.5</v>
      </c>
      <c r="I18" s="1">
        <v>52.1</v>
      </c>
      <c r="J18" s="6">
        <v>61.5</v>
      </c>
      <c r="K18" s="5">
        <v>0.38900000000000001</v>
      </c>
      <c r="L18" s="6">
        <v>0.4</v>
      </c>
      <c r="M18" s="1">
        <v>87</v>
      </c>
      <c r="N18" s="6">
        <v>91</v>
      </c>
      <c r="O18" s="1" t="s">
        <v>25</v>
      </c>
      <c r="P18" s="1">
        <v>1</v>
      </c>
      <c r="Q18" s="1" t="s">
        <v>29</v>
      </c>
      <c r="R18" s="6">
        <v>1</v>
      </c>
      <c r="S18" s="1">
        <v>8</v>
      </c>
      <c r="T18" s="1">
        <v>3</v>
      </c>
      <c r="U18" s="12" t="s">
        <v>22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30.07</v>
      </c>
      <c r="F19" s="6">
        <v>30.22</v>
      </c>
      <c r="G19" s="1">
        <v>57.6</v>
      </c>
      <c r="H19" s="1">
        <v>51.2</v>
      </c>
      <c r="I19" s="1">
        <v>50.5</v>
      </c>
      <c r="J19" s="6">
        <v>60.7</v>
      </c>
      <c r="K19" s="5">
        <v>0.32700000000000001</v>
      </c>
      <c r="L19" s="6">
        <v>0.307</v>
      </c>
      <c r="M19" s="1">
        <v>69</v>
      </c>
      <c r="N19" s="6">
        <v>82</v>
      </c>
      <c r="O19" s="1" t="s">
        <v>27</v>
      </c>
      <c r="P19" s="1">
        <v>1</v>
      </c>
      <c r="Q19" s="1" t="s">
        <v>33</v>
      </c>
      <c r="R19" s="6">
        <v>0</v>
      </c>
      <c r="S19" s="1">
        <v>2</v>
      </c>
      <c r="T19" s="1">
        <v>6</v>
      </c>
      <c r="U19" s="12" t="s">
        <v>22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30.34</v>
      </c>
      <c r="F20" s="6">
        <v>30.4</v>
      </c>
      <c r="G20" s="1">
        <v>55.2</v>
      </c>
      <c r="H20" s="1">
        <v>47.9</v>
      </c>
      <c r="I20" s="1">
        <v>47.9</v>
      </c>
      <c r="J20" s="6">
        <v>57.1</v>
      </c>
      <c r="K20" s="5">
        <v>0.29499999999999998</v>
      </c>
      <c r="L20" s="6">
        <v>0.25900000000000001</v>
      </c>
      <c r="M20" s="1">
        <v>68</v>
      </c>
      <c r="N20" s="6">
        <v>78</v>
      </c>
      <c r="O20" s="1" t="s">
        <v>35</v>
      </c>
      <c r="P20" s="1">
        <v>2</v>
      </c>
      <c r="Q20" s="1" t="s">
        <v>28</v>
      </c>
      <c r="R20" s="6">
        <v>1</v>
      </c>
      <c r="S20" s="1">
        <v>0</v>
      </c>
      <c r="T20" s="1">
        <v>0</v>
      </c>
      <c r="U20" s="12" t="s">
        <v>22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30.38</v>
      </c>
      <c r="F21" s="6">
        <v>30.29</v>
      </c>
      <c r="G21" s="1">
        <v>55.1</v>
      </c>
      <c r="H21" s="1">
        <v>47.5</v>
      </c>
      <c r="I21" s="1">
        <v>43.1</v>
      </c>
      <c r="J21" s="6">
        <v>65.5</v>
      </c>
      <c r="K21" s="5">
        <v>0.312</v>
      </c>
      <c r="L21" s="6">
        <v>0.29699999999999999</v>
      </c>
      <c r="M21" s="1">
        <v>73</v>
      </c>
      <c r="N21" s="6">
        <v>91</v>
      </c>
      <c r="O21" s="1" t="s">
        <v>37</v>
      </c>
      <c r="P21" s="1">
        <v>1</v>
      </c>
      <c r="Q21" s="1" t="s">
        <v>26</v>
      </c>
      <c r="R21" s="6">
        <v>1</v>
      </c>
      <c r="S21" s="1">
        <v>5</v>
      </c>
      <c r="T21" s="1">
        <v>6</v>
      </c>
      <c r="U21" s="12" t="s">
        <v>22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30.22</v>
      </c>
      <c r="F22" s="6">
        <v>29.97</v>
      </c>
      <c r="G22" s="1">
        <v>51.5</v>
      </c>
      <c r="H22" s="1">
        <v>49.8</v>
      </c>
      <c r="I22" s="1">
        <v>45.5</v>
      </c>
      <c r="J22" s="6">
        <v>61.6</v>
      </c>
      <c r="K22" s="5">
        <v>0.253</v>
      </c>
      <c r="L22" s="6">
        <v>0.25900000000000001</v>
      </c>
      <c r="M22" s="1">
        <v>67</v>
      </c>
      <c r="N22" s="6">
        <v>73</v>
      </c>
      <c r="O22" s="1" t="s">
        <v>27</v>
      </c>
      <c r="P22" s="1">
        <v>1</v>
      </c>
      <c r="Q22" s="1" t="s">
        <v>27</v>
      </c>
      <c r="R22" s="6">
        <v>3</v>
      </c>
      <c r="S22" s="1">
        <v>7</v>
      </c>
      <c r="T22" s="1">
        <v>7</v>
      </c>
      <c r="U22" s="12" t="s">
        <v>22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29.95</v>
      </c>
      <c r="F23" s="6">
        <v>30.01</v>
      </c>
      <c r="G23" s="1">
        <v>52.6</v>
      </c>
      <c r="H23" s="1">
        <v>47.3</v>
      </c>
      <c r="I23" s="1">
        <v>45.5</v>
      </c>
      <c r="J23" s="6">
        <v>54.3</v>
      </c>
      <c r="K23" s="5">
        <v>0.22900000000000001</v>
      </c>
      <c r="L23" s="6">
        <v>0.221</v>
      </c>
      <c r="M23" s="1">
        <v>58</v>
      </c>
      <c r="N23" s="6">
        <v>69</v>
      </c>
      <c r="O23" s="1" t="s">
        <v>34</v>
      </c>
      <c r="P23" s="1">
        <v>3</v>
      </c>
      <c r="Q23" s="1" t="s">
        <v>28</v>
      </c>
      <c r="R23" s="6">
        <v>1</v>
      </c>
      <c r="S23" s="1">
        <v>4</v>
      </c>
      <c r="T23" s="1">
        <v>9</v>
      </c>
      <c r="U23" s="12" t="s">
        <v>22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30.05</v>
      </c>
      <c r="F24" s="6">
        <v>30.09</v>
      </c>
      <c r="G24" s="1">
        <v>52</v>
      </c>
      <c r="H24" s="1">
        <v>44.5</v>
      </c>
      <c r="I24" s="1">
        <v>44.5</v>
      </c>
      <c r="J24" s="6">
        <v>53.1</v>
      </c>
      <c r="K24" s="5">
        <v>0.26800000000000002</v>
      </c>
      <c r="L24" s="6">
        <v>0.22700000000000001</v>
      </c>
      <c r="M24" s="1">
        <v>70</v>
      </c>
      <c r="N24" s="6">
        <v>77</v>
      </c>
      <c r="O24" s="1" t="s">
        <v>28</v>
      </c>
      <c r="P24" s="1">
        <v>1</v>
      </c>
      <c r="Q24" s="1" t="s">
        <v>23</v>
      </c>
      <c r="R24" s="6">
        <v>1</v>
      </c>
      <c r="S24" s="1">
        <v>4</v>
      </c>
      <c r="T24" s="1">
        <v>3</v>
      </c>
      <c r="U24" s="12" t="s">
        <v>22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30.13</v>
      </c>
      <c r="F25" s="6">
        <v>30.11</v>
      </c>
      <c r="G25" s="1">
        <v>53.6</v>
      </c>
      <c r="H25" s="1">
        <v>57.1</v>
      </c>
      <c r="I25" s="1">
        <v>41</v>
      </c>
      <c r="J25" s="6">
        <v>64.599999999999994</v>
      </c>
      <c r="K25" s="5">
        <v>0.36399999999999999</v>
      </c>
      <c r="L25" s="6">
        <v>0.33100000000000002</v>
      </c>
      <c r="M25" s="1">
        <v>88</v>
      </c>
      <c r="N25" s="6">
        <v>71</v>
      </c>
      <c r="O25" s="1" t="s">
        <v>29</v>
      </c>
      <c r="P25" s="1">
        <v>1</v>
      </c>
      <c r="Q25" s="1" t="s">
        <v>33</v>
      </c>
      <c r="R25" s="6">
        <v>0</v>
      </c>
      <c r="S25" s="1">
        <v>8</v>
      </c>
      <c r="T25" s="1">
        <v>9</v>
      </c>
      <c r="U25" s="12" t="s">
        <v>22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30.08</v>
      </c>
      <c r="F26" s="6">
        <v>30.08</v>
      </c>
      <c r="G26" s="1">
        <v>63.8</v>
      </c>
      <c r="H26" s="1">
        <v>56.7</v>
      </c>
      <c r="I26" s="1">
        <v>54.2</v>
      </c>
      <c r="J26" s="6">
        <v>70.2</v>
      </c>
      <c r="K26" s="5">
        <v>0.34499999999999997</v>
      </c>
      <c r="L26" s="6">
        <v>0.33300000000000002</v>
      </c>
      <c r="M26" s="1">
        <v>58</v>
      </c>
      <c r="N26" s="6">
        <v>73</v>
      </c>
      <c r="O26" s="1" t="s">
        <v>25</v>
      </c>
      <c r="P26" s="1">
        <v>2</v>
      </c>
      <c r="Q26" s="1" t="s">
        <v>43</v>
      </c>
      <c r="R26" s="6">
        <v>1</v>
      </c>
      <c r="S26" s="1">
        <v>4</v>
      </c>
      <c r="T26" s="1">
        <v>5</v>
      </c>
      <c r="U26" s="12" t="s">
        <v>22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30.06</v>
      </c>
      <c r="F27" s="6">
        <v>30.01</v>
      </c>
      <c r="G27" s="1">
        <v>61.8</v>
      </c>
      <c r="H27" s="1">
        <v>55.8</v>
      </c>
      <c r="I27" s="1">
        <v>50.8</v>
      </c>
      <c r="J27" s="6">
        <v>68.3</v>
      </c>
      <c r="K27" s="5">
        <v>0.36099999999999999</v>
      </c>
      <c r="L27" s="6">
        <v>0.28399999999999997</v>
      </c>
      <c r="M27" s="1">
        <v>66</v>
      </c>
      <c r="N27" s="6">
        <v>64</v>
      </c>
      <c r="O27" s="1" t="s">
        <v>26</v>
      </c>
      <c r="P27" s="1">
        <v>2</v>
      </c>
      <c r="Q27" s="1" t="s">
        <v>25</v>
      </c>
      <c r="R27" s="6">
        <v>2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29.98</v>
      </c>
      <c r="F28" s="6">
        <v>29.97</v>
      </c>
      <c r="G28" s="1">
        <v>66.5</v>
      </c>
      <c r="H28" s="1">
        <v>56.5</v>
      </c>
      <c r="I28" s="1">
        <v>50</v>
      </c>
      <c r="J28" s="6">
        <v>72.7</v>
      </c>
      <c r="K28" s="5">
        <v>0.35299999999999998</v>
      </c>
      <c r="L28" s="6">
        <v>0.433</v>
      </c>
      <c r="M28" s="1">
        <v>54</v>
      </c>
      <c r="N28" s="6">
        <v>95</v>
      </c>
      <c r="O28" s="1" t="s">
        <v>25</v>
      </c>
      <c r="P28" s="1">
        <v>2</v>
      </c>
      <c r="Q28" s="1" t="s">
        <v>43</v>
      </c>
      <c r="R28" s="6">
        <v>1</v>
      </c>
      <c r="S28" s="1">
        <v>0</v>
      </c>
      <c r="T28" s="1">
        <v>3</v>
      </c>
      <c r="U28" s="12" t="s">
        <v>22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29.92</v>
      </c>
      <c r="F29" s="6">
        <v>29.71</v>
      </c>
      <c r="G29" s="1">
        <v>60.6</v>
      </c>
      <c r="H29" s="1">
        <v>58.5</v>
      </c>
      <c r="I29" s="1">
        <v>43</v>
      </c>
      <c r="J29" s="6">
        <v>66.5</v>
      </c>
      <c r="K29" s="5">
        <v>0.32700000000000001</v>
      </c>
      <c r="L29" s="6">
        <v>0.38100000000000001</v>
      </c>
      <c r="M29" s="1">
        <v>62</v>
      </c>
      <c r="N29" s="6">
        <v>78</v>
      </c>
      <c r="O29" s="1" t="s">
        <v>21</v>
      </c>
      <c r="P29" s="1">
        <v>2</v>
      </c>
      <c r="Q29" s="1" t="s">
        <v>29</v>
      </c>
      <c r="R29" s="6">
        <v>2</v>
      </c>
      <c r="S29" s="1">
        <v>3</v>
      </c>
      <c r="T29" s="1">
        <v>3</v>
      </c>
      <c r="U29" s="12">
        <v>0.27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29.64</v>
      </c>
      <c r="F30" s="6">
        <v>29.74</v>
      </c>
      <c r="G30" s="1">
        <v>52.7</v>
      </c>
      <c r="H30" s="1">
        <v>47.4</v>
      </c>
      <c r="I30" s="1">
        <v>47.1</v>
      </c>
      <c r="J30" s="6">
        <v>59.8</v>
      </c>
      <c r="K30" s="5">
        <v>0.36</v>
      </c>
      <c r="L30" s="6">
        <v>0.29799999999999999</v>
      </c>
      <c r="M30" s="1">
        <v>90</v>
      </c>
      <c r="N30" s="6">
        <v>91</v>
      </c>
      <c r="O30" s="1" t="s">
        <v>33</v>
      </c>
      <c r="P30" s="1">
        <v>0</v>
      </c>
      <c r="Q30" s="1" t="s">
        <v>34</v>
      </c>
      <c r="R30" s="6">
        <v>1</v>
      </c>
      <c r="S30" s="1">
        <v>10</v>
      </c>
      <c r="T30" s="1">
        <v>5</v>
      </c>
      <c r="U30" s="12">
        <v>0.02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29.93</v>
      </c>
      <c r="F31" s="6">
        <v>29.97</v>
      </c>
      <c r="G31" s="1">
        <v>49.4</v>
      </c>
      <c r="H31" s="1">
        <v>49.4</v>
      </c>
      <c r="I31" s="1">
        <v>44.5</v>
      </c>
      <c r="J31" s="6">
        <v>55.5</v>
      </c>
      <c r="K31" s="5">
        <v>0.26</v>
      </c>
      <c r="L31" s="6">
        <v>0.26</v>
      </c>
      <c r="M31" s="1">
        <v>74</v>
      </c>
      <c r="N31" s="6">
        <v>74</v>
      </c>
      <c r="O31" s="1" t="s">
        <v>28</v>
      </c>
      <c r="P31" s="1">
        <v>1</v>
      </c>
      <c r="Q31" s="1" t="s">
        <v>21</v>
      </c>
      <c r="R31" s="6">
        <v>2</v>
      </c>
      <c r="S31" s="1">
        <v>3</v>
      </c>
      <c r="T31" s="1">
        <v>2</v>
      </c>
      <c r="U31" s="12" t="s">
        <v>22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29.94</v>
      </c>
      <c r="F32" s="6">
        <v>29.9</v>
      </c>
      <c r="G32" s="1">
        <v>57.3</v>
      </c>
      <c r="H32" s="1">
        <v>58.6</v>
      </c>
      <c r="I32" s="1">
        <v>46.2</v>
      </c>
      <c r="J32" s="6">
        <v>63.7</v>
      </c>
      <c r="K32" s="5">
        <v>0.28299999999999997</v>
      </c>
      <c r="L32" s="6">
        <v>0.36599999999999999</v>
      </c>
      <c r="M32" s="1">
        <v>60</v>
      </c>
      <c r="N32" s="6">
        <v>75</v>
      </c>
      <c r="O32" s="1" t="s">
        <v>29</v>
      </c>
      <c r="P32" s="1">
        <v>3</v>
      </c>
      <c r="Q32" s="1" t="s">
        <v>29</v>
      </c>
      <c r="R32" s="6">
        <v>1</v>
      </c>
      <c r="S32" s="1">
        <v>8</v>
      </c>
      <c r="T32" s="1">
        <v>10</v>
      </c>
      <c r="U32" s="12" t="s">
        <v>22</v>
      </c>
    </row>
    <row r="33" spans="1:21" s="1" customFormat="1">
      <c r="A33" s="5" t="s">
        <v>46</v>
      </c>
      <c r="B33" s="1">
        <v>1883</v>
      </c>
      <c r="C33" s="1" t="s">
        <v>20</v>
      </c>
      <c r="D33" s="1">
        <v>29</v>
      </c>
      <c r="E33" s="5">
        <v>29.86</v>
      </c>
      <c r="F33" s="6">
        <v>30.02</v>
      </c>
      <c r="G33" s="1">
        <v>60.6</v>
      </c>
      <c r="H33" s="1">
        <v>49</v>
      </c>
      <c r="I33" s="1">
        <v>47.8</v>
      </c>
      <c r="J33" s="6">
        <v>63.7</v>
      </c>
      <c r="K33" s="5">
        <v>0.39100000000000001</v>
      </c>
      <c r="L33" s="6">
        <v>0.254</v>
      </c>
      <c r="M33" s="1">
        <v>75</v>
      </c>
      <c r="N33" s="6">
        <v>73</v>
      </c>
      <c r="O33" s="1" t="s">
        <v>29</v>
      </c>
      <c r="P33" s="1">
        <v>4</v>
      </c>
      <c r="Q33" s="1" t="s">
        <v>29</v>
      </c>
      <c r="R33" s="6">
        <v>1</v>
      </c>
      <c r="S33" s="1">
        <v>7</v>
      </c>
      <c r="T33" s="1">
        <v>2</v>
      </c>
      <c r="U33" s="12">
        <v>0.06</v>
      </c>
    </row>
    <row r="34" spans="1:21" s="1" customFormat="1">
      <c r="A34" s="5" t="s">
        <v>46</v>
      </c>
      <c r="B34" s="1">
        <v>1883</v>
      </c>
      <c r="C34" s="1" t="s">
        <v>20</v>
      </c>
      <c r="D34" s="1">
        <v>30</v>
      </c>
      <c r="E34" s="5">
        <v>30.13</v>
      </c>
      <c r="F34" s="6">
        <v>30.18</v>
      </c>
      <c r="G34" s="1">
        <v>56.8</v>
      </c>
      <c r="H34" s="1">
        <v>52.5</v>
      </c>
      <c r="I34" s="1">
        <v>45</v>
      </c>
      <c r="J34" s="6">
        <v>62.8</v>
      </c>
      <c r="K34" s="5">
        <v>0.28799999999999998</v>
      </c>
      <c r="L34" s="6">
        <v>0.30099999999999999</v>
      </c>
      <c r="M34" s="1">
        <v>62</v>
      </c>
      <c r="N34" s="6">
        <v>76</v>
      </c>
      <c r="O34" s="1" t="s">
        <v>36</v>
      </c>
      <c r="P34" s="1">
        <v>2</v>
      </c>
      <c r="Q34" s="1" t="s">
        <v>26</v>
      </c>
      <c r="R34" s="6">
        <v>1</v>
      </c>
      <c r="S34" s="1">
        <v>7</v>
      </c>
      <c r="T34" s="1">
        <v>5</v>
      </c>
      <c r="U34" s="12" t="s">
        <v>22</v>
      </c>
    </row>
    <row r="35" spans="1:21" s="1" customFormat="1">
      <c r="A35" s="5" t="s">
        <v>46</v>
      </c>
      <c r="B35" s="1">
        <v>1883</v>
      </c>
      <c r="C35" s="1" t="s">
        <v>20</v>
      </c>
      <c r="D35" s="8">
        <v>31</v>
      </c>
      <c r="E35" s="7">
        <v>30.18</v>
      </c>
      <c r="F35" s="9">
        <v>30.07</v>
      </c>
      <c r="G35" s="8">
        <v>62.8</v>
      </c>
      <c r="H35" s="8">
        <v>53.6</v>
      </c>
      <c r="I35" s="8">
        <v>47</v>
      </c>
      <c r="J35" s="9">
        <v>67.5</v>
      </c>
      <c r="K35" s="7">
        <v>0.30199999999999999</v>
      </c>
      <c r="L35" s="9">
        <v>0.32900000000000001</v>
      </c>
      <c r="M35" s="8">
        <v>53</v>
      </c>
      <c r="N35" s="9">
        <v>79</v>
      </c>
      <c r="O35" s="8" t="s">
        <v>38</v>
      </c>
      <c r="P35" s="8">
        <v>2</v>
      </c>
      <c r="Q35" s="8" t="s">
        <v>25</v>
      </c>
      <c r="R35" s="9">
        <v>2</v>
      </c>
      <c r="S35" s="8">
        <v>3</v>
      </c>
      <c r="T35" s="8">
        <v>7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29.934999999999999</v>
      </c>
      <c r="F36" s="16">
        <v>29.940999999999999</v>
      </c>
      <c r="G36" s="14">
        <v>52.1</v>
      </c>
      <c r="H36" s="15">
        <v>48.5</v>
      </c>
      <c r="I36" s="15">
        <v>43.9</v>
      </c>
      <c r="J36" s="16">
        <v>56.8</v>
      </c>
      <c r="K36" s="15">
        <v>0.28699999999999998</v>
      </c>
      <c r="L36" s="15">
        <v>0.28000000000000003</v>
      </c>
      <c r="M36" s="14">
        <v>73.5</v>
      </c>
      <c r="N36" s="16">
        <v>81</v>
      </c>
      <c r="O36" s="14" t="s">
        <v>22</v>
      </c>
      <c r="P36" s="15">
        <v>2</v>
      </c>
      <c r="Q36" s="15" t="s">
        <v>22</v>
      </c>
      <c r="R36" s="16">
        <v>1.5</v>
      </c>
      <c r="S36" s="14">
        <v>5.7</v>
      </c>
      <c r="T36" s="16">
        <v>5.8</v>
      </c>
      <c r="U36" s="17">
        <v>1.71</v>
      </c>
    </row>
    <row r="37" spans="1:21">
      <c r="E37">
        <f>SUM(E5:E35)/31</f>
        <v>29.935806451612894</v>
      </c>
      <c r="F37">
        <f>SUM(F5:F35)/31</f>
        <v>29.942258064516135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C18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47</v>
      </c>
      <c r="B5" s="1">
        <v>1883</v>
      </c>
      <c r="C5" s="1" t="s">
        <v>20</v>
      </c>
      <c r="D5" s="1">
        <v>1</v>
      </c>
      <c r="E5" s="5">
        <v>29.92</v>
      </c>
      <c r="F5" s="6">
        <v>30</v>
      </c>
      <c r="G5" s="1">
        <v>50.4</v>
      </c>
      <c r="H5" s="1">
        <v>44.8</v>
      </c>
      <c r="I5" s="1">
        <v>41.2</v>
      </c>
      <c r="J5" s="6">
        <v>54.2</v>
      </c>
      <c r="K5" s="5">
        <v>0.26100000000000001</v>
      </c>
      <c r="L5" s="6">
        <v>0.216</v>
      </c>
      <c r="M5" s="1">
        <v>72</v>
      </c>
      <c r="N5" s="6">
        <v>73</v>
      </c>
      <c r="O5" s="1" t="s">
        <v>35</v>
      </c>
      <c r="P5" s="1">
        <v>5</v>
      </c>
      <c r="Q5" s="1" t="s">
        <v>24</v>
      </c>
      <c r="R5" s="6">
        <v>5</v>
      </c>
      <c r="S5" s="1">
        <v>2</v>
      </c>
      <c r="T5" s="1">
        <v>3</v>
      </c>
      <c r="U5" s="12" t="s">
        <v>22</v>
      </c>
    </row>
    <row r="6" spans="1:21" s="1" customFormat="1">
      <c r="A6" s="5" t="s">
        <v>47</v>
      </c>
      <c r="B6" s="1">
        <v>1883</v>
      </c>
      <c r="C6" s="1" t="s">
        <v>20</v>
      </c>
      <c r="D6" s="1">
        <v>2</v>
      </c>
      <c r="E6" s="5">
        <v>30.03</v>
      </c>
      <c r="F6" s="6">
        <v>29.96</v>
      </c>
      <c r="G6" s="1">
        <v>46</v>
      </c>
      <c r="H6" s="1">
        <v>45</v>
      </c>
      <c r="I6" s="1">
        <v>39.6</v>
      </c>
      <c r="J6" s="6">
        <v>49.8</v>
      </c>
      <c r="K6" s="5">
        <v>0.185</v>
      </c>
      <c r="L6" s="6">
        <v>0.249</v>
      </c>
      <c r="M6" s="1">
        <v>60</v>
      </c>
      <c r="N6" s="6">
        <v>84</v>
      </c>
      <c r="O6" s="1" t="s">
        <v>35</v>
      </c>
      <c r="P6" s="1">
        <v>5</v>
      </c>
      <c r="Q6" s="1" t="s">
        <v>34</v>
      </c>
      <c r="R6" s="6">
        <v>3</v>
      </c>
      <c r="S6" s="1">
        <v>7</v>
      </c>
      <c r="T6" s="1">
        <v>10</v>
      </c>
      <c r="U6" s="12">
        <v>0.13600000000000001</v>
      </c>
    </row>
    <row r="7" spans="1:21" s="1" customFormat="1">
      <c r="A7" s="5" t="s">
        <v>47</v>
      </c>
      <c r="B7" s="1">
        <v>1883</v>
      </c>
      <c r="C7" s="1" t="s">
        <v>20</v>
      </c>
      <c r="D7" s="1">
        <v>3</v>
      </c>
      <c r="E7" s="5">
        <v>29.89</v>
      </c>
      <c r="F7" s="6">
        <v>29.98</v>
      </c>
      <c r="G7" s="1">
        <v>42.8</v>
      </c>
      <c r="H7" s="1">
        <v>40</v>
      </c>
      <c r="I7" s="1">
        <v>39.5</v>
      </c>
      <c r="J7" s="6">
        <v>49.7</v>
      </c>
      <c r="K7" s="5">
        <v>0.21</v>
      </c>
      <c r="L7" s="6">
        <v>0.17199999999999999</v>
      </c>
      <c r="M7" s="1">
        <v>76</v>
      </c>
      <c r="N7" s="6">
        <v>69</v>
      </c>
      <c r="O7" s="1" t="s">
        <v>42</v>
      </c>
      <c r="P7" s="1">
        <v>4</v>
      </c>
      <c r="Q7" s="1" t="s">
        <v>24</v>
      </c>
      <c r="R7" s="6">
        <v>3</v>
      </c>
      <c r="S7" s="1">
        <v>9</v>
      </c>
      <c r="T7" s="1">
        <v>3</v>
      </c>
      <c r="U7" s="12" t="s">
        <v>22</v>
      </c>
    </row>
    <row r="8" spans="1:21" s="1" customFormat="1">
      <c r="A8" s="5" t="s">
        <v>47</v>
      </c>
      <c r="B8" s="1">
        <v>1883</v>
      </c>
      <c r="C8" s="1" t="s">
        <v>20</v>
      </c>
      <c r="D8" s="1">
        <v>4</v>
      </c>
      <c r="E8" s="5">
        <v>29.99</v>
      </c>
      <c r="F8" s="6">
        <v>30.01</v>
      </c>
      <c r="G8" s="1">
        <v>43.5</v>
      </c>
      <c r="H8" s="1">
        <v>41</v>
      </c>
      <c r="I8" s="1">
        <v>36.200000000000003</v>
      </c>
      <c r="J8" s="6">
        <v>48</v>
      </c>
      <c r="K8" s="5">
        <v>0.193</v>
      </c>
      <c r="L8" s="6">
        <v>0.19400000000000001</v>
      </c>
      <c r="M8" s="1">
        <v>68</v>
      </c>
      <c r="N8" s="6">
        <v>76</v>
      </c>
      <c r="O8" s="1" t="s">
        <v>24</v>
      </c>
      <c r="P8" s="1">
        <v>3</v>
      </c>
      <c r="Q8" s="1" t="s">
        <v>24</v>
      </c>
      <c r="R8" s="6">
        <v>4</v>
      </c>
      <c r="S8" s="1">
        <v>6</v>
      </c>
      <c r="T8" s="1">
        <v>5</v>
      </c>
      <c r="U8" s="12">
        <v>1.2999999999999999E-2</v>
      </c>
    </row>
    <row r="9" spans="1:21" s="1" customFormat="1">
      <c r="A9" s="5" t="s">
        <v>47</v>
      </c>
      <c r="B9" s="1">
        <v>1883</v>
      </c>
      <c r="C9" s="1" t="s">
        <v>20</v>
      </c>
      <c r="D9" s="1">
        <v>5</v>
      </c>
      <c r="E9" s="5">
        <v>30.03</v>
      </c>
      <c r="F9" s="6">
        <v>30.04</v>
      </c>
      <c r="G9" s="1">
        <v>45.4</v>
      </c>
      <c r="H9" s="1">
        <v>42</v>
      </c>
      <c r="I9" s="1">
        <v>36</v>
      </c>
      <c r="J9" s="6">
        <v>50.8</v>
      </c>
      <c r="K9" s="5">
        <v>0.19400000000000001</v>
      </c>
      <c r="L9" s="6">
        <v>0.221</v>
      </c>
      <c r="M9" s="1">
        <v>64</v>
      </c>
      <c r="N9" s="6">
        <v>84</v>
      </c>
      <c r="O9" s="1" t="s">
        <v>24</v>
      </c>
      <c r="P9" s="1">
        <v>3</v>
      </c>
      <c r="Q9" s="1" t="s">
        <v>23</v>
      </c>
      <c r="R9" s="6">
        <v>2</v>
      </c>
      <c r="S9" s="1">
        <v>3</v>
      </c>
      <c r="T9" s="1">
        <v>3</v>
      </c>
      <c r="U9" s="12" t="s">
        <v>22</v>
      </c>
    </row>
    <row r="10" spans="1:21" s="1" customFormat="1">
      <c r="A10" s="5" t="s">
        <v>47</v>
      </c>
      <c r="B10" s="1">
        <v>1883</v>
      </c>
      <c r="C10" s="1" t="s">
        <v>20</v>
      </c>
      <c r="D10" s="1">
        <v>6</v>
      </c>
      <c r="E10" s="5">
        <v>30.04</v>
      </c>
      <c r="F10" s="6">
        <v>29.98</v>
      </c>
      <c r="G10" s="1">
        <v>45.6</v>
      </c>
      <c r="H10" s="1">
        <v>45.5</v>
      </c>
      <c r="I10" s="1">
        <v>32.5</v>
      </c>
      <c r="J10" s="6">
        <v>58.9</v>
      </c>
      <c r="K10" s="5">
        <v>0.23599999999999999</v>
      </c>
      <c r="L10" s="6">
        <v>0.253</v>
      </c>
      <c r="M10" s="1">
        <v>77</v>
      </c>
      <c r="N10" s="6">
        <v>83</v>
      </c>
      <c r="O10" s="1" t="s">
        <v>35</v>
      </c>
      <c r="P10" s="1">
        <v>2</v>
      </c>
      <c r="Q10" s="1" t="s">
        <v>27</v>
      </c>
      <c r="R10" s="6">
        <v>1</v>
      </c>
      <c r="S10" s="1">
        <v>9</v>
      </c>
      <c r="T10" s="1">
        <v>1</v>
      </c>
      <c r="U10" s="12" t="s">
        <v>22</v>
      </c>
    </row>
    <row r="11" spans="1:21" s="1" customFormat="1">
      <c r="A11" s="5" t="s">
        <v>47</v>
      </c>
      <c r="B11" s="1">
        <v>1883</v>
      </c>
      <c r="C11" s="1" t="s">
        <v>20</v>
      </c>
      <c r="D11" s="1">
        <v>7</v>
      </c>
      <c r="E11" s="5">
        <v>29.8</v>
      </c>
      <c r="F11" s="6">
        <v>29.66</v>
      </c>
      <c r="G11" s="1">
        <v>55.7</v>
      </c>
      <c r="H11" s="1">
        <v>48.2</v>
      </c>
      <c r="I11" s="1">
        <v>37.200000000000003</v>
      </c>
      <c r="J11" s="6">
        <v>58.2</v>
      </c>
      <c r="K11" s="5">
        <v>0.23200000000000001</v>
      </c>
      <c r="L11" s="6">
        <v>0.255</v>
      </c>
      <c r="M11" s="1">
        <v>52</v>
      </c>
      <c r="N11" s="6">
        <v>76</v>
      </c>
      <c r="O11" s="1" t="s">
        <v>42</v>
      </c>
      <c r="P11" s="1">
        <v>2</v>
      </c>
      <c r="Q11" s="1" t="s">
        <v>23</v>
      </c>
      <c r="R11" s="6">
        <v>3</v>
      </c>
      <c r="S11" s="1">
        <v>0</v>
      </c>
      <c r="T11" s="1">
        <v>10</v>
      </c>
      <c r="U11" s="12">
        <v>0.217</v>
      </c>
    </row>
    <row r="12" spans="1:21" s="1" customFormat="1">
      <c r="A12" s="5" t="s">
        <v>47</v>
      </c>
      <c r="B12" s="1">
        <v>1883</v>
      </c>
      <c r="C12" s="1" t="s">
        <v>20</v>
      </c>
      <c r="D12" s="1">
        <v>8</v>
      </c>
      <c r="E12" s="5">
        <v>29.63</v>
      </c>
      <c r="F12" s="6">
        <v>29.59</v>
      </c>
      <c r="G12" s="1">
        <v>39.700000000000003</v>
      </c>
      <c r="H12" s="1">
        <v>38</v>
      </c>
      <c r="I12" s="1">
        <v>38</v>
      </c>
      <c r="J12" s="6">
        <v>48.5</v>
      </c>
      <c r="K12" s="5">
        <v>0.23</v>
      </c>
      <c r="L12" s="6">
        <v>0.224</v>
      </c>
      <c r="M12" s="1">
        <v>94</v>
      </c>
      <c r="N12" s="6">
        <v>98</v>
      </c>
      <c r="O12" s="1" t="s">
        <v>24</v>
      </c>
      <c r="P12" s="1">
        <v>5</v>
      </c>
      <c r="Q12" s="1" t="s">
        <v>24</v>
      </c>
      <c r="R12" s="6">
        <v>5</v>
      </c>
      <c r="S12" s="1">
        <v>10</v>
      </c>
      <c r="T12" s="1">
        <v>10</v>
      </c>
      <c r="U12" s="12">
        <v>0.876</v>
      </c>
    </row>
    <row r="13" spans="1:21" s="1" customFormat="1">
      <c r="A13" s="5" t="s">
        <v>47</v>
      </c>
      <c r="B13" s="1">
        <v>1883</v>
      </c>
      <c r="C13" s="1" t="s">
        <v>20</v>
      </c>
      <c r="D13" s="1">
        <v>9</v>
      </c>
      <c r="E13" s="5">
        <v>29.63</v>
      </c>
      <c r="F13" s="6">
        <v>29.71</v>
      </c>
      <c r="G13" s="1">
        <v>41.6</v>
      </c>
      <c r="H13" s="1">
        <v>41.8</v>
      </c>
      <c r="I13" s="1">
        <v>37.6</v>
      </c>
      <c r="J13" s="6">
        <v>47.2</v>
      </c>
      <c r="K13" s="5">
        <v>0.20699999999999999</v>
      </c>
      <c r="L13" s="6">
        <v>0.20899999999999999</v>
      </c>
      <c r="M13" s="1">
        <v>79</v>
      </c>
      <c r="N13" s="6">
        <v>79</v>
      </c>
      <c r="O13" s="1" t="s">
        <v>42</v>
      </c>
      <c r="P13" s="1">
        <v>5</v>
      </c>
      <c r="Q13" s="1" t="s">
        <v>24</v>
      </c>
      <c r="R13" s="6">
        <v>2</v>
      </c>
      <c r="S13" s="1">
        <v>7</v>
      </c>
      <c r="T13" s="1">
        <v>10</v>
      </c>
      <c r="U13" s="12" t="s">
        <v>22</v>
      </c>
    </row>
    <row r="14" spans="1:21" s="1" customFormat="1">
      <c r="A14" s="5" t="s">
        <v>47</v>
      </c>
      <c r="B14" s="1">
        <v>1883</v>
      </c>
      <c r="C14" s="1" t="s">
        <v>20</v>
      </c>
      <c r="D14" s="1">
        <v>10</v>
      </c>
      <c r="E14" s="5">
        <v>29.68</v>
      </c>
      <c r="F14" s="6">
        <v>29.69</v>
      </c>
      <c r="G14" s="1">
        <v>46.4</v>
      </c>
      <c r="H14" s="1">
        <v>41.8</v>
      </c>
      <c r="I14" s="1">
        <v>36.4</v>
      </c>
      <c r="J14" s="6">
        <v>47.7</v>
      </c>
      <c r="K14" s="5">
        <v>0.23400000000000001</v>
      </c>
      <c r="L14" s="6">
        <v>0.20899999999999999</v>
      </c>
      <c r="M14" s="1">
        <v>75</v>
      </c>
      <c r="N14" s="6">
        <v>79</v>
      </c>
      <c r="O14" s="1" t="s">
        <v>28</v>
      </c>
      <c r="P14" s="1">
        <v>4</v>
      </c>
      <c r="Q14" s="1" t="s">
        <v>27</v>
      </c>
      <c r="R14" s="6">
        <v>5</v>
      </c>
      <c r="S14" s="1">
        <v>9</v>
      </c>
      <c r="T14" s="1">
        <v>5</v>
      </c>
      <c r="U14" s="12" t="s">
        <v>22</v>
      </c>
    </row>
    <row r="15" spans="1:21" s="1" customFormat="1">
      <c r="A15" s="5" t="s">
        <v>47</v>
      </c>
      <c r="B15" s="1">
        <v>1883</v>
      </c>
      <c r="C15" s="1" t="s">
        <v>20</v>
      </c>
      <c r="D15" s="1">
        <v>11</v>
      </c>
      <c r="E15" s="5">
        <v>29.76</v>
      </c>
      <c r="F15" s="6">
        <v>29.75</v>
      </c>
      <c r="G15" s="1">
        <v>44.8</v>
      </c>
      <c r="H15" s="1">
        <v>42.8</v>
      </c>
      <c r="I15" s="1">
        <v>37.799999999999997</v>
      </c>
      <c r="J15" s="6">
        <v>51.5</v>
      </c>
      <c r="K15" s="5">
        <v>0.20899999999999999</v>
      </c>
      <c r="L15" s="6">
        <v>0.26400000000000001</v>
      </c>
      <c r="M15" s="1">
        <v>71</v>
      </c>
      <c r="N15" s="6">
        <v>96</v>
      </c>
      <c r="O15" s="1" t="s">
        <v>26</v>
      </c>
      <c r="P15" s="1">
        <v>7</v>
      </c>
      <c r="Q15" s="1" t="s">
        <v>39</v>
      </c>
      <c r="R15" s="6">
        <v>3</v>
      </c>
      <c r="S15" s="1">
        <v>4</v>
      </c>
      <c r="T15" s="1">
        <v>8</v>
      </c>
      <c r="U15" s="12">
        <v>0.48499999999999999</v>
      </c>
    </row>
    <row r="16" spans="1:21" s="1" customFormat="1">
      <c r="A16" s="5" t="s">
        <v>47</v>
      </c>
      <c r="B16" s="1">
        <v>1883</v>
      </c>
      <c r="C16" s="1" t="s">
        <v>20</v>
      </c>
      <c r="D16" s="1">
        <v>12</v>
      </c>
      <c r="E16" s="5">
        <v>29.52</v>
      </c>
      <c r="F16" s="6">
        <v>29.59</v>
      </c>
      <c r="G16" s="1">
        <v>52.4</v>
      </c>
      <c r="H16" s="1">
        <v>49.8</v>
      </c>
      <c r="I16" s="1">
        <v>42.8</v>
      </c>
      <c r="J16" s="6">
        <v>57</v>
      </c>
      <c r="K16" s="5">
        <v>0.35</v>
      </c>
      <c r="L16" s="6">
        <v>0.33200000000000002</v>
      </c>
      <c r="M16" s="1">
        <v>89</v>
      </c>
      <c r="N16" s="6">
        <v>93</v>
      </c>
      <c r="O16" s="1" t="s">
        <v>25</v>
      </c>
      <c r="P16" s="1">
        <v>6</v>
      </c>
      <c r="Q16" s="1" t="s">
        <v>25</v>
      </c>
      <c r="R16" s="6">
        <v>6</v>
      </c>
      <c r="S16" s="1">
        <v>7</v>
      </c>
      <c r="T16" s="1">
        <v>10</v>
      </c>
      <c r="U16" s="12">
        <v>8.5000000000000006E-2</v>
      </c>
    </row>
    <row r="17" spans="1:21" s="1" customFormat="1">
      <c r="A17" s="5" t="s">
        <v>47</v>
      </c>
      <c r="B17" s="1">
        <v>1883</v>
      </c>
      <c r="C17" s="1" t="s">
        <v>20</v>
      </c>
      <c r="D17" s="1">
        <v>13</v>
      </c>
      <c r="E17" s="5">
        <v>29.65</v>
      </c>
      <c r="F17" s="6">
        <v>29.72</v>
      </c>
      <c r="G17" s="1">
        <v>50.1</v>
      </c>
      <c r="H17" s="1">
        <v>47.8</v>
      </c>
      <c r="I17" s="1">
        <v>47.4</v>
      </c>
      <c r="J17" s="6">
        <v>53.4</v>
      </c>
      <c r="K17" s="5">
        <v>0.36</v>
      </c>
      <c r="L17" s="6">
        <v>0.32800000000000001</v>
      </c>
      <c r="M17" s="1">
        <v>99</v>
      </c>
      <c r="N17" s="6">
        <v>98</v>
      </c>
      <c r="O17" s="1" t="s">
        <v>29</v>
      </c>
      <c r="P17" s="1">
        <v>4</v>
      </c>
      <c r="Q17" s="1" t="s">
        <v>29</v>
      </c>
      <c r="R17" s="6">
        <v>4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47</v>
      </c>
      <c r="B18" s="1">
        <v>1883</v>
      </c>
      <c r="C18" s="1" t="s">
        <v>20</v>
      </c>
      <c r="D18" s="1">
        <v>14</v>
      </c>
      <c r="E18" s="5">
        <v>29.79</v>
      </c>
      <c r="F18" s="6">
        <v>29.91</v>
      </c>
      <c r="G18" s="1">
        <v>51.8</v>
      </c>
      <c r="H18" s="1">
        <v>46</v>
      </c>
      <c r="I18" s="1">
        <v>46</v>
      </c>
      <c r="J18" s="6">
        <v>54.8</v>
      </c>
      <c r="K18" s="5">
        <v>0.33300000000000002</v>
      </c>
      <c r="L18" s="6">
        <v>0.30599999999999999</v>
      </c>
      <c r="M18" s="1">
        <v>86</v>
      </c>
      <c r="N18" s="6">
        <v>99</v>
      </c>
      <c r="O18" s="1" t="s">
        <v>29</v>
      </c>
      <c r="P18" s="1">
        <v>6</v>
      </c>
      <c r="Q18" s="1" t="s">
        <v>29</v>
      </c>
      <c r="R18" s="6">
        <v>1</v>
      </c>
      <c r="S18" s="1">
        <v>6</v>
      </c>
      <c r="T18" s="1">
        <v>10</v>
      </c>
      <c r="U18" s="12">
        <v>8.0000000000000002E-3</v>
      </c>
    </row>
    <row r="19" spans="1:21" s="1" customFormat="1">
      <c r="A19" s="5" t="s">
        <v>47</v>
      </c>
      <c r="B19" s="1">
        <v>1883</v>
      </c>
      <c r="C19" s="1" t="s">
        <v>20</v>
      </c>
      <c r="D19" s="1">
        <v>15</v>
      </c>
      <c r="E19" s="5">
        <v>30.08</v>
      </c>
      <c r="F19" s="6">
        <v>30.27</v>
      </c>
      <c r="G19" s="1">
        <v>51.6</v>
      </c>
      <c r="H19" s="1">
        <v>45.2</v>
      </c>
      <c r="I19" s="1">
        <v>44.8</v>
      </c>
      <c r="J19" s="6">
        <v>57.3</v>
      </c>
      <c r="K19" s="5">
        <v>0.33500000000000002</v>
      </c>
      <c r="L19" s="6">
        <v>0.29199999999999998</v>
      </c>
      <c r="M19" s="1">
        <v>88</v>
      </c>
      <c r="N19" s="6">
        <v>97</v>
      </c>
      <c r="O19" s="1" t="s">
        <v>39</v>
      </c>
      <c r="P19" s="1">
        <v>2</v>
      </c>
      <c r="Q19" s="1" t="s">
        <v>33</v>
      </c>
      <c r="R19" s="6">
        <v>0</v>
      </c>
      <c r="S19" s="1">
        <v>5</v>
      </c>
      <c r="T19" s="1">
        <v>2</v>
      </c>
      <c r="U19" s="12" t="s">
        <v>22</v>
      </c>
    </row>
    <row r="20" spans="1:21" s="1" customFormat="1">
      <c r="A20" s="5" t="s">
        <v>47</v>
      </c>
      <c r="B20" s="1">
        <v>1883</v>
      </c>
      <c r="C20" s="1" t="s">
        <v>20</v>
      </c>
      <c r="D20" s="1">
        <v>16</v>
      </c>
      <c r="E20" s="5">
        <v>30.38</v>
      </c>
      <c r="F20" s="6">
        <v>30.42</v>
      </c>
      <c r="G20" s="1">
        <v>58.2</v>
      </c>
      <c r="H20" s="1">
        <v>46</v>
      </c>
      <c r="I20" s="1">
        <v>37.6</v>
      </c>
      <c r="J20" s="6">
        <v>64.400000000000006</v>
      </c>
      <c r="K20" s="5">
        <v>0.35699999999999998</v>
      </c>
      <c r="L20" s="6">
        <v>0.216</v>
      </c>
      <c r="M20" s="1">
        <v>74</v>
      </c>
      <c r="N20" s="6">
        <v>70</v>
      </c>
      <c r="O20" s="1" t="s">
        <v>21</v>
      </c>
      <c r="P20" s="1">
        <v>2</v>
      </c>
      <c r="Q20" s="1" t="s">
        <v>34</v>
      </c>
      <c r="R20" s="6">
        <v>1</v>
      </c>
      <c r="S20" s="1">
        <v>3</v>
      </c>
      <c r="T20" s="1">
        <v>1</v>
      </c>
      <c r="U20" s="12" t="s">
        <v>22</v>
      </c>
    </row>
    <row r="21" spans="1:21" s="1" customFormat="1">
      <c r="A21" s="5" t="s">
        <v>47</v>
      </c>
      <c r="B21" s="1">
        <v>1883</v>
      </c>
      <c r="C21" s="1" t="s">
        <v>20</v>
      </c>
      <c r="D21" s="1">
        <v>17</v>
      </c>
      <c r="E21" s="5">
        <v>30.4</v>
      </c>
      <c r="F21" s="6">
        <v>30.39</v>
      </c>
      <c r="G21" s="1">
        <v>56.7</v>
      </c>
      <c r="H21" s="1">
        <v>45.7</v>
      </c>
      <c r="I21" s="1">
        <v>36.4</v>
      </c>
      <c r="J21" s="6">
        <v>63.9</v>
      </c>
      <c r="K21" s="5">
        <v>0.30199999999999999</v>
      </c>
      <c r="L21" s="6">
        <v>0.26800000000000002</v>
      </c>
      <c r="M21" s="1">
        <v>66</v>
      </c>
      <c r="N21" s="6">
        <v>88</v>
      </c>
      <c r="O21" s="1" t="s">
        <v>26</v>
      </c>
      <c r="P21" s="1">
        <v>3</v>
      </c>
      <c r="Q21" s="1" t="s">
        <v>28</v>
      </c>
      <c r="R21" s="6">
        <v>3</v>
      </c>
      <c r="S21" s="1">
        <v>3</v>
      </c>
      <c r="T21" s="1">
        <v>3</v>
      </c>
      <c r="U21" s="12" t="s">
        <v>22</v>
      </c>
    </row>
    <row r="22" spans="1:21" s="1" customFormat="1">
      <c r="A22" s="5" t="s">
        <v>47</v>
      </c>
      <c r="B22" s="1">
        <v>1883</v>
      </c>
      <c r="C22" s="1" t="s">
        <v>20</v>
      </c>
      <c r="D22" s="1">
        <v>18</v>
      </c>
      <c r="E22" s="5">
        <v>30.32</v>
      </c>
      <c r="F22" s="6">
        <v>30.1</v>
      </c>
      <c r="G22" s="1">
        <v>51.5</v>
      </c>
      <c r="H22" s="1">
        <v>49.2</v>
      </c>
      <c r="I22" s="1">
        <v>44.2</v>
      </c>
      <c r="J22" s="6">
        <v>58.8</v>
      </c>
      <c r="K22" s="5">
        <v>0.3</v>
      </c>
      <c r="L22" s="6">
        <v>0.29199999999999998</v>
      </c>
      <c r="M22" s="1">
        <v>79</v>
      </c>
      <c r="N22" s="6">
        <v>84</v>
      </c>
      <c r="O22" s="1" t="s">
        <v>36</v>
      </c>
      <c r="P22" s="1">
        <v>4</v>
      </c>
      <c r="Q22" s="1" t="s">
        <v>36</v>
      </c>
      <c r="R22" s="6">
        <v>4</v>
      </c>
      <c r="S22" s="1">
        <v>7</v>
      </c>
      <c r="T22" s="1">
        <v>10</v>
      </c>
      <c r="U22" s="12">
        <v>0.01</v>
      </c>
    </row>
    <row r="23" spans="1:21" s="1" customFormat="1">
      <c r="A23" s="5" t="s">
        <v>47</v>
      </c>
      <c r="B23" s="1">
        <v>1883</v>
      </c>
      <c r="C23" s="1" t="s">
        <v>20</v>
      </c>
      <c r="D23" s="1">
        <v>19</v>
      </c>
      <c r="E23" s="5">
        <v>30.06</v>
      </c>
      <c r="F23" s="6">
        <v>30.04</v>
      </c>
      <c r="G23" s="1">
        <v>49.1</v>
      </c>
      <c r="H23" s="1">
        <v>46.3</v>
      </c>
      <c r="I23" s="1">
        <v>46.2</v>
      </c>
      <c r="J23" s="6">
        <v>57.7</v>
      </c>
      <c r="K23" s="5">
        <v>0.29699999999999999</v>
      </c>
      <c r="L23" s="6">
        <v>0.307</v>
      </c>
      <c r="M23" s="1">
        <v>85</v>
      </c>
      <c r="N23" s="6">
        <v>98</v>
      </c>
      <c r="O23" s="1" t="s">
        <v>36</v>
      </c>
      <c r="P23" s="1">
        <v>4</v>
      </c>
      <c r="Q23" s="1" t="s">
        <v>26</v>
      </c>
      <c r="R23" s="6">
        <v>1</v>
      </c>
      <c r="S23" s="1">
        <v>10</v>
      </c>
      <c r="T23" s="1">
        <v>10</v>
      </c>
      <c r="U23" s="12">
        <v>0.184</v>
      </c>
    </row>
    <row r="24" spans="1:21" s="1" customFormat="1">
      <c r="A24" s="5" t="s">
        <v>47</v>
      </c>
      <c r="B24" s="1">
        <v>1883</v>
      </c>
      <c r="C24" s="1" t="s">
        <v>20</v>
      </c>
      <c r="D24" s="1">
        <v>20</v>
      </c>
      <c r="E24" s="5">
        <v>30.01</v>
      </c>
      <c r="F24" s="6">
        <v>30.08</v>
      </c>
      <c r="G24" s="1">
        <v>48.8</v>
      </c>
      <c r="H24" s="1">
        <v>50.3</v>
      </c>
      <c r="I24" s="1">
        <v>45.9</v>
      </c>
      <c r="J24" s="6">
        <v>52.2</v>
      </c>
      <c r="K24" s="5">
        <v>0.32500000000000001</v>
      </c>
      <c r="L24" s="6">
        <v>0.34899999999999998</v>
      </c>
      <c r="M24" s="1">
        <v>94</v>
      </c>
      <c r="N24" s="6">
        <v>96</v>
      </c>
      <c r="O24" s="1" t="s">
        <v>37</v>
      </c>
      <c r="P24" s="1">
        <v>2</v>
      </c>
      <c r="Q24" s="1" t="s">
        <v>33</v>
      </c>
      <c r="R24" s="6">
        <v>0</v>
      </c>
      <c r="S24" s="1">
        <v>10</v>
      </c>
      <c r="T24" s="1">
        <v>10</v>
      </c>
      <c r="U24" s="12">
        <v>3.0000000000000001E-3</v>
      </c>
    </row>
    <row r="25" spans="1:21" s="1" customFormat="1">
      <c r="A25" s="5" t="s">
        <v>47</v>
      </c>
      <c r="B25" s="1">
        <v>1883</v>
      </c>
      <c r="C25" s="1" t="s">
        <v>20</v>
      </c>
      <c r="D25" s="1">
        <v>21</v>
      </c>
      <c r="E25" s="5">
        <v>30.14</v>
      </c>
      <c r="F25" s="6">
        <v>30.13</v>
      </c>
      <c r="G25" s="1">
        <v>51.2</v>
      </c>
      <c r="H25" s="1">
        <v>48</v>
      </c>
      <c r="I25" s="1">
        <v>48</v>
      </c>
      <c r="J25" s="6">
        <v>60.2</v>
      </c>
      <c r="K25" s="5">
        <v>0.34</v>
      </c>
      <c r="L25" s="6">
        <v>0.33</v>
      </c>
      <c r="M25" s="1">
        <v>91</v>
      </c>
      <c r="N25" s="6">
        <v>99</v>
      </c>
      <c r="O25" s="1" t="s">
        <v>39</v>
      </c>
      <c r="P25" s="1">
        <v>1</v>
      </c>
      <c r="Q25" s="1" t="s">
        <v>36</v>
      </c>
      <c r="R25" s="6">
        <v>1</v>
      </c>
      <c r="S25" s="1">
        <v>10</v>
      </c>
      <c r="T25" s="1">
        <v>2</v>
      </c>
      <c r="U25" s="12" t="s">
        <v>22</v>
      </c>
    </row>
    <row r="26" spans="1:21" s="1" customFormat="1">
      <c r="A26" s="5" t="s">
        <v>47</v>
      </c>
      <c r="B26" s="1">
        <v>1883</v>
      </c>
      <c r="C26" s="1" t="s">
        <v>20</v>
      </c>
      <c r="D26" s="1">
        <v>22</v>
      </c>
      <c r="E26" s="5">
        <v>30.09</v>
      </c>
      <c r="F26" s="6">
        <v>30.1</v>
      </c>
      <c r="G26" s="1">
        <v>56.2</v>
      </c>
      <c r="H26" s="1">
        <v>50.8</v>
      </c>
      <c r="I26" s="1">
        <v>44.5</v>
      </c>
      <c r="J26" s="6">
        <v>63</v>
      </c>
      <c r="K26" s="5">
        <v>0.37</v>
      </c>
      <c r="L26" s="6">
        <v>0.33</v>
      </c>
      <c r="M26" s="1">
        <v>82</v>
      </c>
      <c r="N26" s="6">
        <v>88</v>
      </c>
      <c r="O26" s="1" t="s">
        <v>26</v>
      </c>
      <c r="P26" s="1">
        <v>2</v>
      </c>
      <c r="Q26" s="1" t="s">
        <v>27</v>
      </c>
      <c r="R26" s="6">
        <v>1</v>
      </c>
      <c r="S26" s="1">
        <v>2</v>
      </c>
      <c r="T26" s="1">
        <v>7</v>
      </c>
      <c r="U26" s="12" t="s">
        <v>22</v>
      </c>
    </row>
    <row r="27" spans="1:21" s="1" customFormat="1">
      <c r="A27" s="5" t="s">
        <v>47</v>
      </c>
      <c r="B27" s="1">
        <v>1883</v>
      </c>
      <c r="C27" s="1" t="s">
        <v>20</v>
      </c>
      <c r="D27" s="1">
        <v>23</v>
      </c>
      <c r="E27" s="5">
        <v>30.09</v>
      </c>
      <c r="F27" s="6">
        <v>30.06</v>
      </c>
      <c r="G27" s="1">
        <v>56.8</v>
      </c>
      <c r="H27" s="1">
        <v>52</v>
      </c>
      <c r="I27" s="1">
        <v>42.5</v>
      </c>
      <c r="J27" s="6">
        <v>61.4</v>
      </c>
      <c r="K27" s="5">
        <v>0.34899999999999998</v>
      </c>
      <c r="L27" s="6">
        <v>0.34799999999999998</v>
      </c>
      <c r="M27" s="1">
        <v>75</v>
      </c>
      <c r="N27" s="6">
        <v>90</v>
      </c>
      <c r="O27" s="1" t="s">
        <v>26</v>
      </c>
      <c r="P27" s="1">
        <v>4</v>
      </c>
      <c r="Q27" s="1" t="s">
        <v>25</v>
      </c>
      <c r="R27" s="6">
        <v>3</v>
      </c>
      <c r="S27" s="1">
        <v>5</v>
      </c>
      <c r="T27" s="1">
        <v>3</v>
      </c>
      <c r="U27" s="12" t="s">
        <v>22</v>
      </c>
    </row>
    <row r="28" spans="1:21" s="1" customFormat="1">
      <c r="A28" s="5" t="s">
        <v>47</v>
      </c>
      <c r="B28" s="1">
        <v>1883</v>
      </c>
      <c r="C28" s="1" t="s">
        <v>20</v>
      </c>
      <c r="D28" s="1">
        <v>24</v>
      </c>
      <c r="E28" s="5">
        <v>30.03</v>
      </c>
      <c r="F28" s="6">
        <v>29.96</v>
      </c>
      <c r="G28" s="1">
        <v>53.6</v>
      </c>
      <c r="H28" s="1">
        <v>50</v>
      </c>
      <c r="I28" s="1">
        <v>48</v>
      </c>
      <c r="J28" s="6">
        <v>54.2</v>
      </c>
      <c r="K28" s="5">
        <v>0.38300000000000001</v>
      </c>
      <c r="L28" s="6">
        <v>0.34200000000000003</v>
      </c>
      <c r="M28" s="1">
        <v>93</v>
      </c>
      <c r="N28" s="6">
        <v>95</v>
      </c>
      <c r="O28" s="1" t="s">
        <v>43</v>
      </c>
      <c r="P28" s="1">
        <v>4</v>
      </c>
      <c r="Q28" s="1" t="s">
        <v>39</v>
      </c>
      <c r="R28" s="6">
        <v>1</v>
      </c>
      <c r="S28" s="1">
        <v>10</v>
      </c>
      <c r="T28" s="1">
        <v>9</v>
      </c>
      <c r="U28" s="12" t="s">
        <v>22</v>
      </c>
    </row>
    <row r="29" spans="1:21" s="1" customFormat="1">
      <c r="A29" s="5" t="s">
        <v>47</v>
      </c>
      <c r="B29" s="1">
        <v>1883</v>
      </c>
      <c r="C29" s="1" t="s">
        <v>20</v>
      </c>
      <c r="D29" s="1">
        <v>25</v>
      </c>
      <c r="E29" s="5">
        <v>29.86</v>
      </c>
      <c r="F29" s="6">
        <v>29.68</v>
      </c>
      <c r="G29" s="1">
        <v>50.3</v>
      </c>
      <c r="H29" s="1">
        <v>51.7</v>
      </c>
      <c r="I29" s="1">
        <v>49.1</v>
      </c>
      <c r="J29" s="6">
        <v>56</v>
      </c>
      <c r="K29" s="5">
        <v>0.35699999999999998</v>
      </c>
      <c r="L29" s="6">
        <v>0.32200000000000001</v>
      </c>
      <c r="M29" s="1">
        <v>98</v>
      </c>
      <c r="N29" s="6">
        <v>84</v>
      </c>
      <c r="O29" s="1" t="s">
        <v>39</v>
      </c>
      <c r="P29" s="1">
        <v>5</v>
      </c>
      <c r="Q29" s="1" t="s">
        <v>25</v>
      </c>
      <c r="R29" s="24" t="s">
        <v>48</v>
      </c>
      <c r="S29" s="1">
        <v>10</v>
      </c>
      <c r="T29" s="1">
        <v>9</v>
      </c>
      <c r="U29" s="12">
        <v>3.5999999999999997E-2</v>
      </c>
    </row>
    <row r="30" spans="1:21" s="1" customFormat="1">
      <c r="A30" s="5" t="s">
        <v>47</v>
      </c>
      <c r="B30" s="1">
        <v>1883</v>
      </c>
      <c r="C30" s="1" t="s">
        <v>20</v>
      </c>
      <c r="D30" s="1">
        <v>26</v>
      </c>
      <c r="E30" s="5">
        <v>29.71</v>
      </c>
      <c r="F30" s="6">
        <v>29.84</v>
      </c>
      <c r="G30" s="1">
        <v>53.3</v>
      </c>
      <c r="H30" s="1">
        <v>45.4</v>
      </c>
      <c r="I30" s="1">
        <v>45.4</v>
      </c>
      <c r="J30" s="6">
        <v>57.7</v>
      </c>
      <c r="K30" s="5">
        <v>0.314</v>
      </c>
      <c r="L30" s="6">
        <v>0.26900000000000002</v>
      </c>
      <c r="M30" s="1">
        <v>77</v>
      </c>
      <c r="N30" s="6">
        <v>89</v>
      </c>
      <c r="O30" s="1" t="s">
        <v>27</v>
      </c>
      <c r="P30" s="1">
        <v>4</v>
      </c>
      <c r="Q30" s="1" t="s">
        <v>33</v>
      </c>
      <c r="R30" s="6">
        <v>0</v>
      </c>
      <c r="S30" s="1">
        <v>3</v>
      </c>
      <c r="T30" s="1">
        <v>5</v>
      </c>
      <c r="U30" s="12" t="s">
        <v>22</v>
      </c>
    </row>
    <row r="31" spans="1:21" s="1" customFormat="1">
      <c r="A31" s="5" t="s">
        <v>47</v>
      </c>
      <c r="B31" s="1">
        <v>1883</v>
      </c>
      <c r="C31" s="1" t="s">
        <v>20</v>
      </c>
      <c r="D31" s="1">
        <v>27</v>
      </c>
      <c r="E31" s="5">
        <v>29.95</v>
      </c>
      <c r="F31" s="6">
        <v>29.91</v>
      </c>
      <c r="G31" s="1">
        <v>54</v>
      </c>
      <c r="H31" s="1">
        <v>49.5</v>
      </c>
      <c r="I31" s="1">
        <v>35</v>
      </c>
      <c r="J31" s="6">
        <v>56.2</v>
      </c>
      <c r="K31" s="5">
        <v>0.28399999999999997</v>
      </c>
      <c r="L31" s="6">
        <v>0.316</v>
      </c>
      <c r="M31" s="1">
        <v>68</v>
      </c>
      <c r="N31" s="6">
        <v>90</v>
      </c>
      <c r="O31" s="1" t="s">
        <v>29</v>
      </c>
      <c r="P31" s="1">
        <v>2</v>
      </c>
      <c r="Q31" s="1" t="s">
        <v>39</v>
      </c>
      <c r="R31" s="24" t="s">
        <v>48</v>
      </c>
      <c r="S31" s="1">
        <v>2</v>
      </c>
      <c r="T31" s="1">
        <v>7</v>
      </c>
      <c r="U31" s="12">
        <v>0.19800000000000001</v>
      </c>
    </row>
    <row r="32" spans="1:21" s="1" customFormat="1">
      <c r="A32" s="5" t="s">
        <v>47</v>
      </c>
      <c r="B32" s="1">
        <v>1883</v>
      </c>
      <c r="C32" s="1" t="s">
        <v>20</v>
      </c>
      <c r="D32" s="1">
        <v>28</v>
      </c>
      <c r="E32" s="5">
        <v>29.8</v>
      </c>
      <c r="F32" s="6">
        <v>29.77</v>
      </c>
      <c r="G32" s="1">
        <v>50.8</v>
      </c>
      <c r="H32" s="1">
        <v>51.7</v>
      </c>
      <c r="I32" s="1">
        <v>49</v>
      </c>
      <c r="J32" s="6">
        <v>52.7</v>
      </c>
      <c r="K32" s="5">
        <v>0.36699999999999999</v>
      </c>
      <c r="L32" s="6">
        <v>0.376</v>
      </c>
      <c r="M32" s="1">
        <v>98</v>
      </c>
      <c r="N32" s="6">
        <v>98</v>
      </c>
      <c r="O32" s="1" t="s">
        <v>39</v>
      </c>
      <c r="P32" s="1">
        <v>4</v>
      </c>
      <c r="Q32" s="1" t="s">
        <v>29</v>
      </c>
      <c r="R32" s="6">
        <v>6</v>
      </c>
      <c r="S32" s="1">
        <v>10</v>
      </c>
      <c r="T32" s="1">
        <v>10</v>
      </c>
      <c r="U32" s="12">
        <v>0.224</v>
      </c>
    </row>
    <row r="33" spans="1:21" s="1" customFormat="1">
      <c r="A33" s="5" t="s">
        <v>47</v>
      </c>
      <c r="B33" s="1">
        <v>1883</v>
      </c>
      <c r="C33" s="1" t="s">
        <v>20</v>
      </c>
      <c r="D33" s="1">
        <v>29</v>
      </c>
      <c r="E33" s="5">
        <v>29.84</v>
      </c>
      <c r="F33" s="6">
        <v>29.94</v>
      </c>
      <c r="G33" s="1">
        <v>54.3</v>
      </c>
      <c r="H33" s="1">
        <v>50.3</v>
      </c>
      <c r="I33" s="1">
        <v>49</v>
      </c>
      <c r="J33" s="6">
        <v>55.4</v>
      </c>
      <c r="K33" s="5">
        <v>0.38100000000000001</v>
      </c>
      <c r="L33" s="6">
        <v>0.35799999999999998</v>
      </c>
      <c r="M33" s="1">
        <v>90</v>
      </c>
      <c r="N33" s="6">
        <v>99</v>
      </c>
      <c r="O33" s="1" t="s">
        <v>39</v>
      </c>
      <c r="P33" s="1">
        <v>5</v>
      </c>
      <c r="Q33" s="1" t="s">
        <v>43</v>
      </c>
      <c r="R33" s="24" t="s">
        <v>48</v>
      </c>
      <c r="S33" s="1">
        <v>2</v>
      </c>
      <c r="T33" s="1">
        <v>9</v>
      </c>
      <c r="U33" s="12">
        <v>1.4999999999999999E-2</v>
      </c>
    </row>
    <row r="34" spans="1:21" s="1" customFormat="1">
      <c r="A34" s="5" t="s">
        <v>47</v>
      </c>
      <c r="B34" s="1">
        <v>1883</v>
      </c>
      <c r="C34" s="1" t="s">
        <v>20</v>
      </c>
      <c r="D34" s="1">
        <v>30</v>
      </c>
      <c r="E34" s="5">
        <v>30.14</v>
      </c>
      <c r="F34" s="6">
        <v>30.16</v>
      </c>
      <c r="G34" s="1">
        <v>55.4</v>
      </c>
      <c r="H34" s="1">
        <v>49.6</v>
      </c>
      <c r="I34" s="1">
        <v>44.7</v>
      </c>
      <c r="J34" s="6">
        <v>57</v>
      </c>
      <c r="K34" s="5">
        <v>0.29299999999999998</v>
      </c>
      <c r="L34" s="6">
        <v>0.30299999999999999</v>
      </c>
      <c r="M34" s="1">
        <v>67</v>
      </c>
      <c r="N34" s="6">
        <v>86</v>
      </c>
      <c r="O34" s="1" t="s">
        <v>26</v>
      </c>
      <c r="P34" s="1">
        <v>3</v>
      </c>
      <c r="Q34" s="1" t="s">
        <v>21</v>
      </c>
      <c r="R34" s="6">
        <v>2</v>
      </c>
      <c r="S34" s="1">
        <v>6</v>
      </c>
      <c r="T34" s="1">
        <v>10</v>
      </c>
      <c r="U34" s="12">
        <v>0.13500000000000001</v>
      </c>
    </row>
    <row r="35" spans="1:21" s="1" customFormat="1">
      <c r="A35" s="5" t="s">
        <v>47</v>
      </c>
      <c r="B35" s="1">
        <v>1883</v>
      </c>
      <c r="C35" s="1" t="s">
        <v>20</v>
      </c>
      <c r="D35" s="8">
        <v>31</v>
      </c>
      <c r="E35" s="7">
        <v>30.09</v>
      </c>
      <c r="F35" s="9">
        <v>29.99</v>
      </c>
      <c r="G35" s="8">
        <v>51.4</v>
      </c>
      <c r="H35" s="8">
        <v>52</v>
      </c>
      <c r="I35" s="8">
        <v>48.8</v>
      </c>
      <c r="J35" s="9">
        <v>54.4</v>
      </c>
      <c r="K35" s="7">
        <v>0.35899999999999999</v>
      </c>
      <c r="L35" s="9">
        <v>0.35299999999999998</v>
      </c>
      <c r="M35" s="8">
        <v>94</v>
      </c>
      <c r="N35" s="9">
        <v>91</v>
      </c>
      <c r="O35" s="8" t="s">
        <v>38</v>
      </c>
      <c r="P35" s="8">
        <v>4</v>
      </c>
      <c r="Q35" s="8" t="s">
        <v>38</v>
      </c>
      <c r="R35" s="9">
        <v>4</v>
      </c>
      <c r="S35" s="8">
        <v>10</v>
      </c>
      <c r="T35" s="8">
        <v>10</v>
      </c>
      <c r="U35" s="13">
        <v>0.08</v>
      </c>
    </row>
    <row r="36" spans="1:21" s="1" customFormat="1">
      <c r="A36" s="14"/>
      <c r="B36" s="15"/>
      <c r="C36" s="15"/>
      <c r="D36" s="16" t="s">
        <v>30</v>
      </c>
      <c r="E36" s="15">
        <v>29.946000000000002</v>
      </c>
      <c r="F36" s="16">
        <v>29.949000000000002</v>
      </c>
      <c r="G36" s="14">
        <v>50.3</v>
      </c>
      <c r="H36" s="15">
        <v>46.7</v>
      </c>
      <c r="I36" s="15">
        <v>42.2</v>
      </c>
      <c r="J36" s="16">
        <v>55.2</v>
      </c>
      <c r="K36" s="15">
        <v>0.29499999999999998</v>
      </c>
      <c r="L36" s="15">
        <v>0.28399999999999997</v>
      </c>
      <c r="M36" s="14">
        <v>80</v>
      </c>
      <c r="N36" s="16">
        <v>88</v>
      </c>
      <c r="O36" s="14" t="s">
        <v>22</v>
      </c>
      <c r="P36" s="15">
        <v>3.7</v>
      </c>
      <c r="Q36" s="15" t="s">
        <v>22</v>
      </c>
      <c r="R36" s="16">
        <v>2.7</v>
      </c>
      <c r="S36" s="14">
        <v>6.4</v>
      </c>
      <c r="T36" s="16">
        <v>6.9</v>
      </c>
      <c r="U36" s="17">
        <v>2.7050000000000001</v>
      </c>
    </row>
    <row r="37" spans="1:21">
      <c r="E37">
        <f>SUM(E5:E35)/31</f>
        <v>29.946774193548389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opLeftCell="C27" workbookViewId="0">
      <selection activeCell="F38" sqref="F38"/>
    </sheetView>
  </sheetViews>
  <sheetFormatPr defaultRowHeight="14.45"/>
  <cols>
    <col min="1" max="1" width="14" customWidth="1"/>
    <col min="21" max="21" width="9.28515625" bestFit="1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49</v>
      </c>
      <c r="B5" s="1">
        <v>1883</v>
      </c>
      <c r="C5" s="1" t="s">
        <v>20</v>
      </c>
      <c r="D5" s="1">
        <v>1</v>
      </c>
      <c r="E5" s="5">
        <v>29.89</v>
      </c>
      <c r="F5" s="6">
        <v>29.98</v>
      </c>
      <c r="G5" s="1">
        <v>50.8</v>
      </c>
      <c r="H5" s="1">
        <v>44</v>
      </c>
      <c r="I5" s="1">
        <v>39</v>
      </c>
      <c r="J5" s="6">
        <v>55.8</v>
      </c>
      <c r="K5" s="5">
        <v>0.26700000000000002</v>
      </c>
      <c r="L5" s="6">
        <v>0.223</v>
      </c>
      <c r="M5" s="1">
        <v>72</v>
      </c>
      <c r="N5" s="6">
        <v>76</v>
      </c>
      <c r="O5" s="1" t="s">
        <v>28</v>
      </c>
      <c r="P5" s="1">
        <v>5</v>
      </c>
      <c r="Q5" s="1" t="s">
        <v>28</v>
      </c>
      <c r="R5" s="6">
        <v>3</v>
      </c>
      <c r="S5" s="1">
        <v>3</v>
      </c>
      <c r="T5" s="1">
        <v>6</v>
      </c>
      <c r="U5" s="12" t="s">
        <v>22</v>
      </c>
    </row>
    <row r="6" spans="1:21" s="1" customFormat="1">
      <c r="A6" s="5" t="s">
        <v>49</v>
      </c>
      <c r="B6" s="1">
        <v>1883</v>
      </c>
      <c r="C6" s="1" t="s">
        <v>20</v>
      </c>
      <c r="D6" s="1">
        <v>2</v>
      </c>
      <c r="E6" s="5">
        <v>29.98</v>
      </c>
      <c r="F6" s="6">
        <v>29.96</v>
      </c>
      <c r="G6" s="1">
        <v>41.8</v>
      </c>
      <c r="H6" s="1">
        <v>40.9</v>
      </c>
      <c r="I6" s="1">
        <v>39.200000000000003</v>
      </c>
      <c r="J6" s="6">
        <v>47.5</v>
      </c>
      <c r="K6" s="5">
        <v>0.20799999999999999</v>
      </c>
      <c r="L6" s="6">
        <v>0.193</v>
      </c>
      <c r="M6" s="1">
        <v>79</v>
      </c>
      <c r="N6" s="6">
        <v>76</v>
      </c>
      <c r="O6" s="1" t="s">
        <v>28</v>
      </c>
      <c r="P6" s="1">
        <v>3</v>
      </c>
      <c r="Q6" s="1" t="s">
        <v>35</v>
      </c>
      <c r="R6" s="6">
        <v>3</v>
      </c>
      <c r="S6" s="1">
        <v>8</v>
      </c>
      <c r="T6" s="1">
        <v>10</v>
      </c>
      <c r="U6" s="12">
        <v>0.01</v>
      </c>
    </row>
    <row r="7" spans="1:21" s="1" customFormat="1">
      <c r="A7" s="5" t="s">
        <v>49</v>
      </c>
      <c r="B7" s="1">
        <v>1883</v>
      </c>
      <c r="C7" s="1" t="s">
        <v>20</v>
      </c>
      <c r="D7" s="1">
        <v>3</v>
      </c>
      <c r="E7" s="5">
        <v>29.84</v>
      </c>
      <c r="F7" s="6">
        <v>29.96</v>
      </c>
      <c r="G7" s="1">
        <v>42.8</v>
      </c>
      <c r="H7" s="1">
        <v>34.700000000000003</v>
      </c>
      <c r="I7" s="1">
        <v>34.700000000000003</v>
      </c>
      <c r="J7" s="6">
        <v>47.5</v>
      </c>
      <c r="K7" s="5">
        <v>0.23100000000000001</v>
      </c>
      <c r="L7" s="6">
        <v>0.16200000000000001</v>
      </c>
      <c r="M7" s="1">
        <v>84</v>
      </c>
      <c r="N7" s="6">
        <v>80</v>
      </c>
      <c r="O7" s="1" t="s">
        <v>34</v>
      </c>
      <c r="P7" s="1">
        <v>4</v>
      </c>
      <c r="Q7" s="1" t="s">
        <v>28</v>
      </c>
      <c r="R7" s="6">
        <v>3</v>
      </c>
      <c r="S7" s="1">
        <v>9</v>
      </c>
      <c r="T7" s="1">
        <v>0</v>
      </c>
      <c r="U7" s="12">
        <v>0.03</v>
      </c>
    </row>
    <row r="8" spans="1:21" s="1" customFormat="1">
      <c r="A8" s="5" t="s">
        <v>49</v>
      </c>
      <c r="B8" s="1">
        <v>1883</v>
      </c>
      <c r="C8" s="1" t="s">
        <v>20</v>
      </c>
      <c r="D8" s="1">
        <v>4</v>
      </c>
      <c r="E8" s="5">
        <v>29.89</v>
      </c>
      <c r="F8" s="6">
        <v>29.98</v>
      </c>
      <c r="G8" s="1">
        <v>42.6</v>
      </c>
      <c r="H8" s="1">
        <v>38</v>
      </c>
      <c r="I8" s="1">
        <v>33.9</v>
      </c>
      <c r="J8" s="6">
        <v>47.8</v>
      </c>
      <c r="K8" s="5">
        <v>0.183</v>
      </c>
      <c r="L8" s="6">
        <v>0.17499999999999999</v>
      </c>
      <c r="M8" s="1">
        <v>67</v>
      </c>
      <c r="N8" s="6">
        <v>76</v>
      </c>
      <c r="O8" s="1" t="s">
        <v>28</v>
      </c>
      <c r="P8" s="1">
        <v>3</v>
      </c>
      <c r="Q8" s="1" t="s">
        <v>28</v>
      </c>
      <c r="R8" s="6">
        <v>2</v>
      </c>
      <c r="S8" s="1">
        <v>7</v>
      </c>
      <c r="T8" s="1">
        <v>2</v>
      </c>
      <c r="U8" s="12">
        <v>0.05</v>
      </c>
    </row>
    <row r="9" spans="1:21" s="1" customFormat="1">
      <c r="A9" s="5" t="s">
        <v>49</v>
      </c>
      <c r="B9" s="1">
        <v>1883</v>
      </c>
      <c r="C9" s="1" t="s">
        <v>20</v>
      </c>
      <c r="D9" s="1">
        <v>5</v>
      </c>
      <c r="E9" s="5">
        <v>29.97</v>
      </c>
      <c r="F9" s="6">
        <v>30.02</v>
      </c>
      <c r="G9" s="1">
        <v>41.8</v>
      </c>
      <c r="H9" s="1">
        <v>41</v>
      </c>
      <c r="I9" s="1">
        <v>33.799999999999997</v>
      </c>
      <c r="J9" s="6">
        <v>43.3</v>
      </c>
      <c r="K9" s="5">
        <v>0.185</v>
      </c>
      <c r="L9" s="6">
        <v>0.219</v>
      </c>
      <c r="M9" s="1">
        <v>71</v>
      </c>
      <c r="N9" s="6">
        <v>86</v>
      </c>
      <c r="O9" s="1" t="s">
        <v>35</v>
      </c>
      <c r="P9" s="1">
        <v>4</v>
      </c>
      <c r="Q9" s="1" t="s">
        <v>42</v>
      </c>
      <c r="R9" s="6">
        <v>4</v>
      </c>
      <c r="S9" s="1">
        <v>10</v>
      </c>
      <c r="T9" s="1">
        <v>8</v>
      </c>
      <c r="U9" s="12">
        <v>0.04</v>
      </c>
    </row>
    <row r="10" spans="1:21" s="1" customFormat="1">
      <c r="A10" s="5" t="s">
        <v>49</v>
      </c>
      <c r="B10" s="1">
        <v>1883</v>
      </c>
      <c r="C10" s="1" t="s">
        <v>20</v>
      </c>
      <c r="D10" s="1">
        <v>6</v>
      </c>
      <c r="E10" s="5">
        <v>30.06</v>
      </c>
      <c r="F10" s="6">
        <v>30.01</v>
      </c>
      <c r="G10" s="1">
        <v>49.6</v>
      </c>
      <c r="H10" s="1">
        <v>43.8</v>
      </c>
      <c r="I10" s="1">
        <v>40</v>
      </c>
      <c r="J10" s="6">
        <v>58</v>
      </c>
      <c r="K10" s="5">
        <v>0.23799999999999999</v>
      </c>
      <c r="L10" s="6">
        <v>0.19900000000000001</v>
      </c>
      <c r="M10" s="1">
        <v>68</v>
      </c>
      <c r="N10" s="6">
        <v>69</v>
      </c>
      <c r="O10" s="1" t="s">
        <v>35</v>
      </c>
      <c r="P10" s="1">
        <v>2</v>
      </c>
      <c r="Q10" s="1" t="s">
        <v>35</v>
      </c>
      <c r="R10" s="6">
        <v>2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49</v>
      </c>
      <c r="B11" s="1">
        <v>1883</v>
      </c>
      <c r="C11" s="1" t="s">
        <v>20</v>
      </c>
      <c r="D11" s="1">
        <v>7</v>
      </c>
      <c r="E11" s="5">
        <v>29.84</v>
      </c>
      <c r="F11" s="6">
        <v>29.7</v>
      </c>
      <c r="G11" s="1">
        <v>46.4</v>
      </c>
      <c r="H11" s="1">
        <v>41.7</v>
      </c>
      <c r="I11" s="1">
        <v>33.299999999999997</v>
      </c>
      <c r="J11" s="6">
        <v>58.2</v>
      </c>
      <c r="K11" s="5">
        <v>0.214</v>
      </c>
      <c r="L11" s="6">
        <v>0.23100000000000001</v>
      </c>
      <c r="M11" s="1">
        <v>69</v>
      </c>
      <c r="N11" s="6">
        <v>88</v>
      </c>
      <c r="O11" s="1" t="s">
        <v>35</v>
      </c>
      <c r="P11" s="1">
        <v>2</v>
      </c>
      <c r="Q11" s="1" t="s">
        <v>28</v>
      </c>
      <c r="R11" s="6">
        <v>2</v>
      </c>
      <c r="S11" s="1">
        <v>1</v>
      </c>
      <c r="T11" s="1">
        <v>10</v>
      </c>
      <c r="U11" s="12">
        <v>0.15</v>
      </c>
    </row>
    <row r="12" spans="1:21" s="1" customFormat="1">
      <c r="A12" s="5" t="s">
        <v>49</v>
      </c>
      <c r="B12" s="1">
        <v>1883</v>
      </c>
      <c r="C12" s="1" t="s">
        <v>20</v>
      </c>
      <c r="D12" s="1">
        <v>8</v>
      </c>
      <c r="E12" s="5">
        <v>29.62</v>
      </c>
      <c r="F12" s="6">
        <v>29.62</v>
      </c>
      <c r="G12" s="1">
        <v>42.6</v>
      </c>
      <c r="H12" s="1">
        <v>39.799999999999997</v>
      </c>
      <c r="I12" s="1">
        <v>39</v>
      </c>
      <c r="J12" s="6">
        <v>45.5</v>
      </c>
      <c r="K12" s="5">
        <v>0.23799999999999999</v>
      </c>
      <c r="L12" s="6">
        <v>0.215</v>
      </c>
      <c r="M12" s="1">
        <v>87</v>
      </c>
      <c r="N12" s="6">
        <v>88</v>
      </c>
      <c r="O12" s="1" t="s">
        <v>28</v>
      </c>
      <c r="P12" s="1">
        <v>3</v>
      </c>
      <c r="Q12" s="1" t="s">
        <v>28</v>
      </c>
      <c r="R12" s="6">
        <v>2</v>
      </c>
      <c r="S12" s="1">
        <v>10</v>
      </c>
      <c r="T12" s="1">
        <v>10</v>
      </c>
      <c r="U12" s="12">
        <v>0.18</v>
      </c>
    </row>
    <row r="13" spans="1:21" s="1" customFormat="1">
      <c r="A13" s="5" t="s">
        <v>49</v>
      </c>
      <c r="B13" s="1">
        <v>1883</v>
      </c>
      <c r="C13" s="1" t="s">
        <v>20</v>
      </c>
      <c r="D13" s="1">
        <v>9</v>
      </c>
      <c r="E13" s="5">
        <v>29.62</v>
      </c>
      <c r="F13" s="6">
        <v>29.67</v>
      </c>
      <c r="G13" s="1">
        <v>40.799999999999997</v>
      </c>
      <c r="H13" s="1">
        <v>38.799999999999997</v>
      </c>
      <c r="I13" s="1">
        <v>37</v>
      </c>
      <c r="J13" s="6">
        <v>44.3</v>
      </c>
      <c r="K13" s="5">
        <v>0.216</v>
      </c>
      <c r="L13" s="6">
        <v>0.21</v>
      </c>
      <c r="M13" s="1">
        <v>85</v>
      </c>
      <c r="N13" s="6">
        <v>90</v>
      </c>
      <c r="O13" s="1" t="s">
        <v>28</v>
      </c>
      <c r="P13" s="1">
        <v>4</v>
      </c>
      <c r="Q13" s="1" t="s">
        <v>28</v>
      </c>
      <c r="R13" s="6">
        <v>3</v>
      </c>
      <c r="S13" s="1">
        <v>10</v>
      </c>
      <c r="T13" s="1">
        <v>10</v>
      </c>
      <c r="U13" s="12">
        <v>7.0000000000000007E-2</v>
      </c>
    </row>
    <row r="14" spans="1:21" s="1" customFormat="1">
      <c r="A14" s="5" t="s">
        <v>49</v>
      </c>
      <c r="B14" s="1">
        <v>1883</v>
      </c>
      <c r="C14" s="1" t="s">
        <v>20</v>
      </c>
      <c r="D14" s="1">
        <v>10</v>
      </c>
      <c r="E14" s="5">
        <v>29.58</v>
      </c>
      <c r="F14" s="6">
        <v>29.66</v>
      </c>
      <c r="G14" s="1">
        <v>39.799999999999997</v>
      </c>
      <c r="H14" s="1">
        <v>40.799999999999997</v>
      </c>
      <c r="I14" s="1">
        <v>35.6</v>
      </c>
      <c r="J14" s="6">
        <v>43.5</v>
      </c>
      <c r="K14" s="5">
        <v>0.20699999999999999</v>
      </c>
      <c r="L14" s="6">
        <v>0.21299999999999999</v>
      </c>
      <c r="M14" s="1">
        <v>85</v>
      </c>
      <c r="N14" s="6">
        <v>84</v>
      </c>
      <c r="O14" s="1" t="s">
        <v>36</v>
      </c>
      <c r="P14" s="1">
        <v>4</v>
      </c>
      <c r="Q14" s="1" t="s">
        <v>27</v>
      </c>
      <c r="R14" s="6">
        <v>4</v>
      </c>
      <c r="S14" s="1">
        <v>10</v>
      </c>
      <c r="T14" s="1">
        <v>2</v>
      </c>
      <c r="U14" s="12">
        <v>0.11</v>
      </c>
    </row>
    <row r="15" spans="1:21" s="1" customFormat="1">
      <c r="A15" s="5" t="s">
        <v>49</v>
      </c>
      <c r="B15" s="1">
        <v>1883</v>
      </c>
      <c r="C15" s="1" t="s">
        <v>20</v>
      </c>
      <c r="D15" s="1">
        <v>11</v>
      </c>
      <c r="E15" s="5">
        <v>29.77</v>
      </c>
      <c r="F15" s="6">
        <v>29.82</v>
      </c>
      <c r="G15" s="1">
        <v>45.8</v>
      </c>
      <c r="H15" s="1">
        <v>41.8</v>
      </c>
      <c r="I15" s="1">
        <v>38.200000000000003</v>
      </c>
      <c r="J15" s="6">
        <v>49.5</v>
      </c>
      <c r="K15" s="5">
        <v>0.20300000000000001</v>
      </c>
      <c r="L15" s="6">
        <v>0.157</v>
      </c>
      <c r="M15" s="1">
        <v>66</v>
      </c>
      <c r="N15" s="6">
        <v>60</v>
      </c>
      <c r="O15" s="1" t="s">
        <v>36</v>
      </c>
      <c r="P15" s="1">
        <v>3</v>
      </c>
      <c r="Q15" s="1" t="s">
        <v>29</v>
      </c>
      <c r="R15" s="6">
        <v>3</v>
      </c>
      <c r="S15" s="1">
        <v>6</v>
      </c>
      <c r="T15" s="1">
        <v>3</v>
      </c>
      <c r="U15" s="12">
        <v>0.14000000000000001</v>
      </c>
    </row>
    <row r="16" spans="1:21" s="1" customFormat="1">
      <c r="A16" s="5" t="s">
        <v>49</v>
      </c>
      <c r="B16" s="1">
        <v>1883</v>
      </c>
      <c r="C16" s="1" t="s">
        <v>20</v>
      </c>
      <c r="D16" s="1">
        <v>12</v>
      </c>
      <c r="E16" s="5">
        <v>29.64</v>
      </c>
      <c r="F16" s="6">
        <v>29.71</v>
      </c>
      <c r="G16" s="1">
        <v>48.6</v>
      </c>
      <c r="H16" s="1">
        <v>56.5</v>
      </c>
      <c r="I16" s="1">
        <v>37.200000000000003</v>
      </c>
      <c r="J16" s="6">
        <v>63.3</v>
      </c>
      <c r="K16" s="5">
        <v>0.317</v>
      </c>
      <c r="L16" s="6">
        <v>0.34799999999999998</v>
      </c>
      <c r="M16" s="1">
        <v>93</v>
      </c>
      <c r="N16" s="6">
        <v>76</v>
      </c>
      <c r="O16" s="1" t="s">
        <v>29</v>
      </c>
      <c r="P16" s="1">
        <v>2</v>
      </c>
      <c r="Q16" s="1" t="s">
        <v>39</v>
      </c>
      <c r="R16" s="6">
        <v>6</v>
      </c>
      <c r="S16" s="1">
        <v>10</v>
      </c>
      <c r="T16" s="1">
        <v>7</v>
      </c>
      <c r="U16" s="12" t="s">
        <v>22</v>
      </c>
    </row>
    <row r="17" spans="1:21" s="1" customFormat="1">
      <c r="A17" s="5" t="s">
        <v>49</v>
      </c>
      <c r="B17" s="1">
        <v>1883</v>
      </c>
      <c r="C17" s="1" t="s">
        <v>20</v>
      </c>
      <c r="D17" s="1">
        <v>13</v>
      </c>
      <c r="E17" s="5">
        <v>29.75</v>
      </c>
      <c r="F17" s="6">
        <v>29.83</v>
      </c>
      <c r="G17" s="1">
        <v>58.1</v>
      </c>
      <c r="H17" s="1">
        <v>54.8</v>
      </c>
      <c r="I17" s="1">
        <v>54.8</v>
      </c>
      <c r="J17" s="6">
        <v>61.4</v>
      </c>
      <c r="K17" s="5">
        <v>0.33800000000000002</v>
      </c>
      <c r="L17" s="6">
        <v>0.37</v>
      </c>
      <c r="M17" s="1">
        <v>71</v>
      </c>
      <c r="N17" s="6">
        <v>86</v>
      </c>
      <c r="O17" s="1" t="s">
        <v>39</v>
      </c>
      <c r="P17" s="1">
        <v>7</v>
      </c>
      <c r="Q17" s="1" t="s">
        <v>29</v>
      </c>
      <c r="R17" s="6">
        <v>3</v>
      </c>
      <c r="S17" s="1">
        <v>4</v>
      </c>
      <c r="T17" s="1">
        <v>6</v>
      </c>
      <c r="U17" s="12">
        <v>0.1</v>
      </c>
    </row>
    <row r="18" spans="1:21" s="1" customFormat="1">
      <c r="A18" s="5" t="s">
        <v>49</v>
      </c>
      <c r="B18" s="1">
        <v>1883</v>
      </c>
      <c r="C18" s="1" t="s">
        <v>20</v>
      </c>
      <c r="D18" s="1">
        <v>14</v>
      </c>
      <c r="E18" s="5">
        <v>29.85</v>
      </c>
      <c r="F18" s="6">
        <v>29.93</v>
      </c>
      <c r="G18" s="1">
        <v>55.7</v>
      </c>
      <c r="H18" s="1">
        <v>56.7</v>
      </c>
      <c r="I18" s="1">
        <v>50.3</v>
      </c>
      <c r="J18" s="6">
        <v>62.8</v>
      </c>
      <c r="K18" s="5">
        <v>0.33600000000000002</v>
      </c>
      <c r="L18" s="6">
        <v>0.33500000000000002</v>
      </c>
      <c r="M18" s="1">
        <v>76</v>
      </c>
      <c r="N18" s="6">
        <v>73</v>
      </c>
      <c r="O18" s="1" t="s">
        <v>43</v>
      </c>
      <c r="P18" s="1">
        <v>2</v>
      </c>
      <c r="Q18" s="1" t="s">
        <v>43</v>
      </c>
      <c r="R18" s="6">
        <v>3</v>
      </c>
      <c r="S18" s="1">
        <v>10</v>
      </c>
      <c r="T18" s="1">
        <v>5</v>
      </c>
      <c r="U18" s="12">
        <v>0.01</v>
      </c>
    </row>
    <row r="19" spans="1:21" s="1" customFormat="1">
      <c r="A19" s="5" t="s">
        <v>49</v>
      </c>
      <c r="B19" s="1">
        <v>1883</v>
      </c>
      <c r="C19" s="1" t="s">
        <v>20</v>
      </c>
      <c r="D19" s="1">
        <v>15</v>
      </c>
      <c r="E19" s="5">
        <v>30.1</v>
      </c>
      <c r="F19" s="6">
        <v>30.26</v>
      </c>
      <c r="G19" s="1">
        <v>57.7</v>
      </c>
      <c r="H19" s="1">
        <v>56.7</v>
      </c>
      <c r="I19" s="1">
        <v>40.799999999999997</v>
      </c>
      <c r="J19" s="6">
        <v>65.400000000000006</v>
      </c>
      <c r="K19" s="5">
        <v>0.32500000000000001</v>
      </c>
      <c r="L19" s="6">
        <v>0.32200000000000001</v>
      </c>
      <c r="M19" s="1">
        <v>68</v>
      </c>
      <c r="N19" s="6">
        <v>70</v>
      </c>
      <c r="O19" s="1" t="s">
        <v>34</v>
      </c>
      <c r="P19" s="1">
        <v>2</v>
      </c>
      <c r="Q19" s="1" t="s">
        <v>34</v>
      </c>
      <c r="R19" s="6">
        <v>2</v>
      </c>
      <c r="S19" s="1">
        <v>2</v>
      </c>
      <c r="T19" s="1">
        <v>10</v>
      </c>
      <c r="U19" s="12" t="s">
        <v>22</v>
      </c>
    </row>
    <row r="20" spans="1:21" s="1" customFormat="1">
      <c r="A20" s="5" t="s">
        <v>49</v>
      </c>
      <c r="B20" s="1">
        <v>1883</v>
      </c>
      <c r="C20" s="1" t="s">
        <v>20</v>
      </c>
      <c r="D20" s="1">
        <v>16</v>
      </c>
      <c r="E20" s="5">
        <v>30.34</v>
      </c>
      <c r="F20" s="6">
        <v>30.41</v>
      </c>
      <c r="G20" s="1">
        <v>60.8</v>
      </c>
      <c r="H20" s="1">
        <v>54.1</v>
      </c>
      <c r="I20" s="1">
        <v>48.3</v>
      </c>
      <c r="J20" s="6">
        <v>70</v>
      </c>
      <c r="K20" s="5">
        <v>0.32700000000000001</v>
      </c>
      <c r="L20" s="6">
        <v>0.26300000000000001</v>
      </c>
      <c r="M20" s="1">
        <v>61</v>
      </c>
      <c r="N20" s="6">
        <v>63</v>
      </c>
      <c r="O20" s="1" t="s">
        <v>38</v>
      </c>
      <c r="P20" s="1">
        <v>2</v>
      </c>
      <c r="Q20" s="1" t="s">
        <v>35</v>
      </c>
      <c r="R20" s="6">
        <v>2</v>
      </c>
      <c r="S20" s="1">
        <v>0</v>
      </c>
      <c r="T20" s="1">
        <v>7</v>
      </c>
      <c r="U20" s="12" t="s">
        <v>22</v>
      </c>
    </row>
    <row r="21" spans="1:21" s="1" customFormat="1">
      <c r="A21" s="5" t="s">
        <v>49</v>
      </c>
      <c r="B21" s="1">
        <v>1883</v>
      </c>
      <c r="C21" s="1" t="s">
        <v>20</v>
      </c>
      <c r="D21" s="1">
        <v>17</v>
      </c>
      <c r="E21" s="5">
        <v>30.4</v>
      </c>
      <c r="F21" s="6">
        <v>30.31</v>
      </c>
      <c r="G21" s="1">
        <v>54.8</v>
      </c>
      <c r="H21" s="1">
        <v>55.7</v>
      </c>
      <c r="I21" s="1">
        <v>38</v>
      </c>
      <c r="J21" s="6">
        <v>64.400000000000006</v>
      </c>
      <c r="K21" s="5">
        <v>0.28599999999999998</v>
      </c>
      <c r="L21" s="6">
        <v>0.23100000000000001</v>
      </c>
      <c r="M21" s="1">
        <v>67</v>
      </c>
      <c r="N21" s="6">
        <v>52</v>
      </c>
      <c r="O21" s="1" t="s">
        <v>26</v>
      </c>
      <c r="P21" s="1">
        <v>4</v>
      </c>
      <c r="Q21" s="1" t="s">
        <v>26</v>
      </c>
      <c r="R21" s="6">
        <v>2</v>
      </c>
      <c r="S21" s="1">
        <v>5</v>
      </c>
      <c r="T21" s="1">
        <v>2</v>
      </c>
      <c r="U21" s="12" t="s">
        <v>22</v>
      </c>
    </row>
    <row r="22" spans="1:21" s="1" customFormat="1">
      <c r="A22" s="5" t="s">
        <v>49</v>
      </c>
      <c r="B22" s="1">
        <v>1883</v>
      </c>
      <c r="C22" s="1" t="s">
        <v>20</v>
      </c>
      <c r="D22" s="1">
        <v>18</v>
      </c>
      <c r="E22" s="5">
        <v>30.26</v>
      </c>
      <c r="F22" s="6">
        <v>30.03</v>
      </c>
      <c r="G22" s="1">
        <v>52</v>
      </c>
      <c r="H22" s="1">
        <v>50.3</v>
      </c>
      <c r="I22" s="1">
        <v>43.2</v>
      </c>
      <c r="J22" s="6">
        <v>56.4</v>
      </c>
      <c r="K22" s="5">
        <v>0.22500000000000001</v>
      </c>
      <c r="L22" s="6">
        <v>0.27100000000000002</v>
      </c>
      <c r="M22" s="1">
        <v>58</v>
      </c>
      <c r="N22" s="6">
        <v>75</v>
      </c>
      <c r="O22" s="1" t="s">
        <v>36</v>
      </c>
      <c r="P22" s="1">
        <v>4</v>
      </c>
      <c r="Q22" s="1" t="s">
        <v>26</v>
      </c>
      <c r="R22" s="6">
        <v>8</v>
      </c>
      <c r="S22" s="1">
        <v>4</v>
      </c>
      <c r="T22" s="1">
        <v>2</v>
      </c>
      <c r="U22" s="12" t="s">
        <v>22</v>
      </c>
    </row>
    <row r="23" spans="1:21" s="1" customFormat="1">
      <c r="A23" s="5" t="s">
        <v>49</v>
      </c>
      <c r="B23" s="1">
        <v>1883</v>
      </c>
      <c r="C23" s="1" t="s">
        <v>20</v>
      </c>
      <c r="D23" s="1">
        <v>19</v>
      </c>
      <c r="E23" s="5">
        <v>29.99</v>
      </c>
      <c r="F23" s="6">
        <v>30.01</v>
      </c>
      <c r="G23" s="1">
        <v>52.8</v>
      </c>
      <c r="H23" s="1">
        <v>49.8</v>
      </c>
      <c r="I23" s="1">
        <v>48.5</v>
      </c>
      <c r="J23" s="6">
        <v>59.6</v>
      </c>
      <c r="K23" s="5">
        <v>0.245</v>
      </c>
      <c r="L23" s="6">
        <v>0.28100000000000003</v>
      </c>
      <c r="M23" s="1">
        <v>62</v>
      </c>
      <c r="N23" s="6">
        <v>79</v>
      </c>
      <c r="O23" s="1" t="s">
        <v>29</v>
      </c>
      <c r="P23" s="1">
        <v>3</v>
      </c>
      <c r="Q23" s="1" t="s">
        <v>26</v>
      </c>
      <c r="R23" s="6">
        <v>3</v>
      </c>
      <c r="S23" s="1">
        <v>10</v>
      </c>
      <c r="T23" s="1">
        <v>4</v>
      </c>
      <c r="U23" s="12" t="s">
        <v>22</v>
      </c>
    </row>
    <row r="24" spans="1:21" s="1" customFormat="1">
      <c r="A24" s="5" t="s">
        <v>49</v>
      </c>
      <c r="B24" s="1">
        <v>1883</v>
      </c>
      <c r="C24" s="1" t="s">
        <v>20</v>
      </c>
      <c r="D24" s="1">
        <v>20</v>
      </c>
      <c r="E24" s="5">
        <v>30.07</v>
      </c>
      <c r="F24" s="6">
        <v>30.11</v>
      </c>
      <c r="G24" s="1">
        <v>50</v>
      </c>
      <c r="H24" s="1">
        <v>48.8</v>
      </c>
      <c r="I24" s="1">
        <v>45.6</v>
      </c>
      <c r="J24" s="6">
        <v>56.6</v>
      </c>
      <c r="K24" s="5">
        <v>0.23499999999999999</v>
      </c>
      <c r="L24" s="6">
        <v>0.25800000000000001</v>
      </c>
      <c r="M24" s="1">
        <v>66</v>
      </c>
      <c r="N24" s="6">
        <v>75</v>
      </c>
      <c r="O24" s="1" t="s">
        <v>39</v>
      </c>
      <c r="P24" s="1">
        <v>2</v>
      </c>
      <c r="Q24" s="1" t="s">
        <v>29</v>
      </c>
      <c r="R24" s="6">
        <v>2</v>
      </c>
      <c r="S24" s="1">
        <v>4</v>
      </c>
      <c r="T24" s="1">
        <v>0</v>
      </c>
      <c r="U24" s="12" t="s">
        <v>22</v>
      </c>
    </row>
    <row r="25" spans="1:21" s="1" customFormat="1">
      <c r="A25" s="5" t="s">
        <v>49</v>
      </c>
      <c r="B25" s="1">
        <v>1883</v>
      </c>
      <c r="C25" s="1" t="s">
        <v>20</v>
      </c>
      <c r="D25" s="1">
        <v>21</v>
      </c>
      <c r="E25" s="5">
        <v>30.17</v>
      </c>
      <c r="F25" s="6">
        <v>30.14</v>
      </c>
      <c r="G25" s="1">
        <v>53.8</v>
      </c>
      <c r="H25" s="1">
        <v>57.7</v>
      </c>
      <c r="I25" s="1">
        <v>35</v>
      </c>
      <c r="J25" s="6">
        <v>61.4</v>
      </c>
      <c r="K25" s="5">
        <v>0.29799999999999999</v>
      </c>
      <c r="L25" s="6">
        <v>0.37</v>
      </c>
      <c r="M25" s="1">
        <v>72</v>
      </c>
      <c r="N25" s="6">
        <v>78</v>
      </c>
      <c r="O25" s="1" t="s">
        <v>25</v>
      </c>
      <c r="P25" s="1">
        <v>2</v>
      </c>
      <c r="Q25" s="1" t="s">
        <v>43</v>
      </c>
      <c r="R25" s="6">
        <v>2</v>
      </c>
      <c r="S25" s="1">
        <v>10</v>
      </c>
      <c r="T25" s="1">
        <v>2</v>
      </c>
      <c r="U25" s="12" t="s">
        <v>22</v>
      </c>
    </row>
    <row r="26" spans="1:21" s="1" customFormat="1">
      <c r="A26" s="5" t="s">
        <v>49</v>
      </c>
      <c r="B26" s="1">
        <v>1883</v>
      </c>
      <c r="C26" s="1" t="s">
        <v>20</v>
      </c>
      <c r="D26" s="1">
        <v>22</v>
      </c>
      <c r="E26" s="5">
        <v>30.1</v>
      </c>
      <c r="F26" s="6">
        <v>30.09</v>
      </c>
      <c r="G26" s="1">
        <v>62.9</v>
      </c>
      <c r="H26" s="1">
        <v>55.7</v>
      </c>
      <c r="I26" s="1">
        <v>47.2</v>
      </c>
      <c r="J26" s="6">
        <v>69.400000000000006</v>
      </c>
      <c r="K26" s="5">
        <v>0.35699999999999998</v>
      </c>
      <c r="L26" s="6">
        <v>0.35699999999999998</v>
      </c>
      <c r="M26" s="1">
        <v>62</v>
      </c>
      <c r="N26" s="6">
        <v>81</v>
      </c>
      <c r="O26" s="1" t="s">
        <v>26</v>
      </c>
      <c r="P26" s="1">
        <v>2</v>
      </c>
      <c r="Q26" s="1" t="s">
        <v>26</v>
      </c>
      <c r="R26" s="6">
        <v>1</v>
      </c>
      <c r="S26" s="1">
        <v>4</v>
      </c>
      <c r="T26" s="1">
        <v>3</v>
      </c>
      <c r="U26" s="12" t="s">
        <v>22</v>
      </c>
    </row>
    <row r="27" spans="1:21" s="1" customFormat="1">
      <c r="A27" s="5" t="s">
        <v>49</v>
      </c>
      <c r="B27" s="1">
        <v>1883</v>
      </c>
      <c r="C27" s="1" t="s">
        <v>20</v>
      </c>
      <c r="D27" s="1">
        <v>23</v>
      </c>
      <c r="E27" s="5">
        <v>30.1</v>
      </c>
      <c r="F27" s="6">
        <v>30.06</v>
      </c>
      <c r="G27" s="1">
        <v>58.5</v>
      </c>
      <c r="H27" s="1">
        <v>54.8</v>
      </c>
      <c r="I27" s="1">
        <v>48.2</v>
      </c>
      <c r="J27" s="6">
        <v>66.400000000000006</v>
      </c>
      <c r="K27" s="5">
        <v>0.32700000000000001</v>
      </c>
      <c r="L27" s="6">
        <v>0.34200000000000003</v>
      </c>
      <c r="M27" s="1">
        <v>67</v>
      </c>
      <c r="N27" s="6">
        <v>80</v>
      </c>
      <c r="O27" s="1" t="s">
        <v>26</v>
      </c>
      <c r="P27" s="1">
        <v>4</v>
      </c>
      <c r="Q27" s="1" t="s">
        <v>26</v>
      </c>
      <c r="R27" s="6">
        <v>4</v>
      </c>
      <c r="S27" s="1">
        <v>5</v>
      </c>
      <c r="T27" s="1">
        <v>2</v>
      </c>
      <c r="U27" s="12" t="s">
        <v>22</v>
      </c>
    </row>
    <row r="28" spans="1:21" s="1" customFormat="1">
      <c r="A28" s="5" t="s">
        <v>49</v>
      </c>
      <c r="B28" s="1">
        <v>1883</v>
      </c>
      <c r="C28" s="1" t="s">
        <v>20</v>
      </c>
      <c r="D28" s="1">
        <v>24</v>
      </c>
      <c r="E28" s="5">
        <v>30.05</v>
      </c>
      <c r="F28" s="6">
        <v>29.98</v>
      </c>
      <c r="G28" s="1">
        <v>60.8</v>
      </c>
      <c r="H28" s="1">
        <v>55</v>
      </c>
      <c r="I28" s="1">
        <v>50.5</v>
      </c>
      <c r="J28" s="6">
        <v>71.7</v>
      </c>
      <c r="K28" s="5">
        <v>0.35099999999999998</v>
      </c>
      <c r="L28" s="6">
        <v>0.34899999999999998</v>
      </c>
      <c r="M28" s="1">
        <v>66</v>
      </c>
      <c r="N28" s="6">
        <v>81</v>
      </c>
      <c r="O28" s="1" t="s">
        <v>26</v>
      </c>
      <c r="P28" s="1">
        <v>4</v>
      </c>
      <c r="Q28" s="1" t="s">
        <v>26</v>
      </c>
      <c r="R28" s="6">
        <v>2</v>
      </c>
      <c r="S28" s="1">
        <v>0</v>
      </c>
      <c r="T28" s="1">
        <v>5</v>
      </c>
      <c r="U28" s="12" t="s">
        <v>22</v>
      </c>
    </row>
    <row r="29" spans="1:21" s="1" customFormat="1">
      <c r="A29" s="5" t="s">
        <v>49</v>
      </c>
      <c r="B29" s="1">
        <v>1883</v>
      </c>
      <c r="C29" s="1" t="s">
        <v>20</v>
      </c>
      <c r="D29" s="1">
        <v>25</v>
      </c>
      <c r="E29" s="5">
        <v>29.91</v>
      </c>
      <c r="F29" s="6">
        <v>29.69</v>
      </c>
      <c r="G29" s="1">
        <v>59.6</v>
      </c>
      <c r="H29" s="1">
        <v>63.4</v>
      </c>
      <c r="I29" s="1">
        <v>46.9</v>
      </c>
      <c r="J29" s="6">
        <v>71.400000000000006</v>
      </c>
      <c r="K29" s="5">
        <v>0.29499999999999998</v>
      </c>
      <c r="L29" s="6">
        <v>0.38400000000000001</v>
      </c>
      <c r="M29" s="1">
        <v>57</v>
      </c>
      <c r="N29" s="6">
        <v>66</v>
      </c>
      <c r="O29" s="1" t="s">
        <v>26</v>
      </c>
      <c r="P29" s="1">
        <v>2</v>
      </c>
      <c r="Q29" s="1" t="s">
        <v>26</v>
      </c>
      <c r="R29" s="6">
        <v>2</v>
      </c>
      <c r="S29" s="1">
        <v>4</v>
      </c>
      <c r="T29" s="1">
        <v>10</v>
      </c>
      <c r="U29" s="12">
        <v>0.22</v>
      </c>
    </row>
    <row r="30" spans="1:21" s="1" customFormat="1">
      <c r="A30" s="5" t="s">
        <v>49</v>
      </c>
      <c r="B30" s="1">
        <v>1883</v>
      </c>
      <c r="C30" s="1" t="s">
        <v>20</v>
      </c>
      <c r="D30" s="1">
        <v>26</v>
      </c>
      <c r="E30" s="5">
        <v>29.62</v>
      </c>
      <c r="F30" s="6">
        <v>29.77</v>
      </c>
      <c r="G30" s="1">
        <v>56.7</v>
      </c>
      <c r="H30" s="1">
        <v>49.9</v>
      </c>
      <c r="I30" s="1">
        <v>49.9</v>
      </c>
      <c r="J30" s="6">
        <v>64.400000000000006</v>
      </c>
      <c r="K30" s="5">
        <v>0.37</v>
      </c>
      <c r="L30" s="6">
        <v>0.32500000000000001</v>
      </c>
      <c r="M30" s="1">
        <v>81</v>
      </c>
      <c r="N30" s="6">
        <v>91</v>
      </c>
      <c r="O30" s="1" t="s">
        <v>26</v>
      </c>
      <c r="P30" s="1">
        <v>3</v>
      </c>
      <c r="Q30" s="1" t="s">
        <v>36</v>
      </c>
      <c r="R30" s="6">
        <v>2</v>
      </c>
      <c r="S30" s="1">
        <v>6</v>
      </c>
      <c r="T30" s="1">
        <v>8</v>
      </c>
      <c r="U30" s="12">
        <v>0.02</v>
      </c>
    </row>
    <row r="31" spans="1:21" s="1" customFormat="1">
      <c r="A31" s="5" t="s">
        <v>49</v>
      </c>
      <c r="B31" s="1">
        <v>1883</v>
      </c>
      <c r="C31" s="1" t="s">
        <v>20</v>
      </c>
      <c r="D31" s="1">
        <v>27</v>
      </c>
      <c r="E31" s="5">
        <v>29.95</v>
      </c>
      <c r="F31" s="6">
        <v>29.97</v>
      </c>
      <c r="G31" s="1">
        <v>53.8</v>
      </c>
      <c r="H31" s="1">
        <v>56.7</v>
      </c>
      <c r="I31" s="1">
        <v>42.5</v>
      </c>
      <c r="J31" s="6">
        <v>62.6</v>
      </c>
      <c r="K31" s="5">
        <v>0.214</v>
      </c>
      <c r="L31" s="6">
        <v>0.27800000000000002</v>
      </c>
      <c r="M31" s="1">
        <v>52</v>
      </c>
      <c r="N31" s="6">
        <v>60</v>
      </c>
      <c r="O31" s="1" t="s">
        <v>26</v>
      </c>
      <c r="P31" s="1">
        <v>2</v>
      </c>
      <c r="Q31" s="1" t="s">
        <v>25</v>
      </c>
      <c r="R31" s="6">
        <v>2</v>
      </c>
      <c r="S31" s="1">
        <v>0</v>
      </c>
      <c r="T31" s="1">
        <v>8</v>
      </c>
      <c r="U31" s="12" t="s">
        <v>22</v>
      </c>
    </row>
    <row r="32" spans="1:21" s="1" customFormat="1">
      <c r="A32" s="5" t="s">
        <v>49</v>
      </c>
      <c r="B32" s="1">
        <v>1883</v>
      </c>
      <c r="C32" s="1" t="s">
        <v>20</v>
      </c>
      <c r="D32" s="1">
        <v>28</v>
      </c>
      <c r="E32" s="5">
        <v>29.95</v>
      </c>
      <c r="F32" s="6">
        <v>29.91</v>
      </c>
      <c r="G32" s="1">
        <v>57.3</v>
      </c>
      <c r="H32" s="1">
        <v>58.7</v>
      </c>
      <c r="I32" s="1">
        <v>46.5</v>
      </c>
      <c r="J32" s="6">
        <v>65.400000000000006</v>
      </c>
      <c r="K32" s="5">
        <v>0.39100000000000001</v>
      </c>
      <c r="L32" s="6">
        <v>0.373</v>
      </c>
      <c r="M32" s="1">
        <v>83</v>
      </c>
      <c r="N32" s="6">
        <v>76</v>
      </c>
      <c r="O32" s="1" t="s">
        <v>25</v>
      </c>
      <c r="P32" s="1">
        <v>4</v>
      </c>
      <c r="Q32" s="1" t="s">
        <v>39</v>
      </c>
      <c r="R32" s="6">
        <v>3</v>
      </c>
      <c r="S32" s="1">
        <v>6</v>
      </c>
      <c r="T32" s="1">
        <v>3</v>
      </c>
      <c r="U32" s="12">
        <v>0.02</v>
      </c>
    </row>
    <row r="33" spans="1:21" s="1" customFormat="1">
      <c r="A33" s="5" t="s">
        <v>49</v>
      </c>
      <c r="B33" s="1">
        <v>1883</v>
      </c>
      <c r="C33" s="1" t="s">
        <v>20</v>
      </c>
      <c r="D33" s="1">
        <v>29</v>
      </c>
      <c r="E33" s="5">
        <v>29.88</v>
      </c>
      <c r="F33" s="6">
        <v>30.04</v>
      </c>
      <c r="G33" s="1">
        <v>57</v>
      </c>
      <c r="H33" s="1">
        <v>56.7</v>
      </c>
      <c r="I33" s="1">
        <v>50.9</v>
      </c>
      <c r="J33" s="6">
        <v>65</v>
      </c>
      <c r="K33" s="5">
        <v>0.42499999999999999</v>
      </c>
      <c r="L33" s="6">
        <v>0.308</v>
      </c>
      <c r="M33" s="1">
        <v>91</v>
      </c>
      <c r="N33" s="6">
        <v>67</v>
      </c>
      <c r="O33" s="1" t="s">
        <v>29</v>
      </c>
      <c r="P33" s="1">
        <v>2</v>
      </c>
      <c r="Q33" s="1" t="s">
        <v>26</v>
      </c>
      <c r="R33" s="6">
        <v>2</v>
      </c>
      <c r="S33" s="1">
        <v>10</v>
      </c>
      <c r="T33" s="1">
        <v>5</v>
      </c>
      <c r="U33" s="12">
        <v>0.01</v>
      </c>
    </row>
    <row r="34" spans="1:21" s="1" customFormat="1">
      <c r="A34" s="5" t="s">
        <v>49</v>
      </c>
      <c r="B34" s="1">
        <v>1883</v>
      </c>
      <c r="C34" s="1" t="s">
        <v>20</v>
      </c>
      <c r="D34" s="1">
        <v>30</v>
      </c>
      <c r="E34" s="5">
        <v>30.2</v>
      </c>
      <c r="F34" s="6">
        <v>30.22</v>
      </c>
      <c r="G34" s="1">
        <v>53.8</v>
      </c>
      <c r="H34" s="1">
        <v>47.7</v>
      </c>
      <c r="I34" s="1">
        <v>46.2</v>
      </c>
      <c r="J34" s="6">
        <v>62.4</v>
      </c>
      <c r="K34" s="5">
        <v>0.28299999999999997</v>
      </c>
      <c r="L34" s="6">
        <v>0.26100000000000001</v>
      </c>
      <c r="M34" s="1">
        <v>68</v>
      </c>
      <c r="N34" s="6">
        <v>79</v>
      </c>
      <c r="O34" s="1" t="s">
        <v>25</v>
      </c>
      <c r="P34" s="1">
        <v>2</v>
      </c>
      <c r="Q34" s="1" t="s">
        <v>28</v>
      </c>
      <c r="R34" s="6">
        <v>2</v>
      </c>
      <c r="S34" s="1">
        <v>10</v>
      </c>
      <c r="T34" s="1">
        <v>4</v>
      </c>
      <c r="U34" s="12" t="s">
        <v>22</v>
      </c>
    </row>
    <row r="35" spans="1:21" s="1" customFormat="1">
      <c r="A35" s="5" t="s">
        <v>49</v>
      </c>
      <c r="B35" s="1">
        <v>1883</v>
      </c>
      <c r="C35" s="1" t="s">
        <v>20</v>
      </c>
      <c r="D35" s="8">
        <v>31</v>
      </c>
      <c r="E35" s="7">
        <v>30.17</v>
      </c>
      <c r="F35" s="9">
        <v>30.06</v>
      </c>
      <c r="G35" s="8">
        <v>62.6</v>
      </c>
      <c r="H35" s="8">
        <v>58.8</v>
      </c>
      <c r="I35" s="8">
        <v>38.1</v>
      </c>
      <c r="J35" s="9">
        <v>67.2</v>
      </c>
      <c r="K35" s="7">
        <v>0.309</v>
      </c>
      <c r="L35" s="9">
        <v>0.34599999999999997</v>
      </c>
      <c r="M35" s="8">
        <v>54</v>
      </c>
      <c r="N35" s="9">
        <v>70</v>
      </c>
      <c r="O35" s="8" t="s">
        <v>29</v>
      </c>
      <c r="P35" s="8">
        <v>3</v>
      </c>
      <c r="Q35" s="8" t="s">
        <v>21</v>
      </c>
      <c r="R35" s="9">
        <v>2</v>
      </c>
      <c r="S35" s="8">
        <v>3</v>
      </c>
      <c r="T35" s="8">
        <v>4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29.952999999999999</v>
      </c>
      <c r="F36" s="16">
        <v>29.965</v>
      </c>
      <c r="G36" s="14">
        <v>52</v>
      </c>
      <c r="H36" s="15">
        <v>49.8</v>
      </c>
      <c r="I36" s="15">
        <v>42.3</v>
      </c>
      <c r="J36" s="16">
        <v>59</v>
      </c>
      <c r="K36" s="15">
        <v>0.27900000000000003</v>
      </c>
      <c r="L36" s="15">
        <v>0.27600000000000002</v>
      </c>
      <c r="M36" s="14">
        <v>71.2</v>
      </c>
      <c r="N36" s="16">
        <v>75.8</v>
      </c>
      <c r="O36" s="14" t="s">
        <v>22</v>
      </c>
      <c r="P36" s="15">
        <v>3.1</v>
      </c>
      <c r="Q36" s="15" t="s">
        <v>22</v>
      </c>
      <c r="R36" s="16">
        <v>2.8</v>
      </c>
      <c r="S36" s="14">
        <v>6</v>
      </c>
      <c r="T36" s="16">
        <v>5.0999999999999996</v>
      </c>
      <c r="U36" s="17">
        <v>1.1599999999999999</v>
      </c>
    </row>
    <row r="37" spans="1:21">
      <c r="E37">
        <f>SUM(E5:E35)/31</f>
        <v>29.953548387096777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D24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50</v>
      </c>
      <c r="B5" s="1">
        <v>1883</v>
      </c>
      <c r="C5" s="1" t="s">
        <v>20</v>
      </c>
      <c r="D5" s="1">
        <v>1</v>
      </c>
      <c r="E5" s="5">
        <v>29.88</v>
      </c>
      <c r="F5" s="6">
        <v>30</v>
      </c>
      <c r="G5" s="1">
        <v>49.5</v>
      </c>
      <c r="H5" s="1">
        <v>46.1</v>
      </c>
      <c r="I5" s="1">
        <v>42.8</v>
      </c>
      <c r="J5" s="6">
        <v>52.2</v>
      </c>
      <c r="K5" s="5">
        <v>0.24299999999999999</v>
      </c>
      <c r="L5" s="6">
        <v>0.24199999999999999</v>
      </c>
      <c r="M5" s="1">
        <v>69</v>
      </c>
      <c r="N5" s="6">
        <v>78</v>
      </c>
      <c r="O5" s="1" t="s">
        <v>23</v>
      </c>
      <c r="P5" s="1">
        <v>2</v>
      </c>
      <c r="Q5" s="1" t="s">
        <v>23</v>
      </c>
      <c r="R5" s="6">
        <v>4</v>
      </c>
      <c r="S5" s="1">
        <v>0</v>
      </c>
      <c r="T5" s="1">
        <v>0</v>
      </c>
      <c r="U5" s="12" t="s">
        <v>22</v>
      </c>
    </row>
    <row r="6" spans="1:21" s="1" customFormat="1">
      <c r="A6" s="5" t="s">
        <v>50</v>
      </c>
      <c r="B6" s="1">
        <v>1883</v>
      </c>
      <c r="C6" s="1" t="s">
        <v>20</v>
      </c>
      <c r="D6" s="1">
        <v>2</v>
      </c>
      <c r="E6" s="5">
        <v>30.03</v>
      </c>
      <c r="F6" s="6">
        <v>30</v>
      </c>
      <c r="G6" s="1">
        <v>44</v>
      </c>
      <c r="H6" s="1">
        <v>44.2</v>
      </c>
      <c r="I6" s="1">
        <v>39.799999999999997</v>
      </c>
      <c r="J6" s="6">
        <v>47</v>
      </c>
      <c r="K6" s="5">
        <v>0.19700000000000001</v>
      </c>
      <c r="L6" s="6">
        <v>0.23100000000000001</v>
      </c>
      <c r="M6" s="1">
        <v>68</v>
      </c>
      <c r="N6" s="6">
        <v>80</v>
      </c>
      <c r="O6" s="1" t="s">
        <v>23</v>
      </c>
      <c r="P6" s="1">
        <v>3</v>
      </c>
      <c r="Q6" s="1" t="s">
        <v>23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50</v>
      </c>
      <c r="B7" s="1">
        <v>1883</v>
      </c>
      <c r="C7" s="1" t="s">
        <v>20</v>
      </c>
      <c r="D7" s="1">
        <v>3</v>
      </c>
      <c r="E7" s="5">
        <v>29.88</v>
      </c>
      <c r="F7" s="6">
        <v>30.01</v>
      </c>
      <c r="G7" s="1">
        <v>47.4</v>
      </c>
      <c r="H7" s="1">
        <v>43</v>
      </c>
      <c r="I7" s="1">
        <v>42</v>
      </c>
      <c r="J7" s="6">
        <v>47.9</v>
      </c>
      <c r="K7" s="5">
        <v>0.246</v>
      </c>
      <c r="L7" s="6">
        <v>0.19400000000000001</v>
      </c>
      <c r="M7" s="1">
        <v>76</v>
      </c>
      <c r="N7" s="6">
        <v>70</v>
      </c>
      <c r="O7" s="1" t="s">
        <v>23</v>
      </c>
      <c r="P7" s="1">
        <v>1</v>
      </c>
      <c r="Q7" s="1" t="s">
        <v>23</v>
      </c>
      <c r="R7" s="6">
        <v>4</v>
      </c>
      <c r="S7" s="1">
        <v>10</v>
      </c>
      <c r="T7" s="1">
        <v>7</v>
      </c>
      <c r="U7" s="12" t="s">
        <v>22</v>
      </c>
    </row>
    <row r="8" spans="1:21" s="1" customFormat="1">
      <c r="A8" s="5" t="s">
        <v>50</v>
      </c>
      <c r="B8" s="1">
        <v>1883</v>
      </c>
      <c r="C8" s="1" t="s">
        <v>20</v>
      </c>
      <c r="D8" s="1">
        <v>4</v>
      </c>
      <c r="E8" s="5">
        <v>29.97</v>
      </c>
      <c r="F8" s="6">
        <v>29.98</v>
      </c>
      <c r="G8" s="1">
        <v>43.7</v>
      </c>
      <c r="H8" s="1">
        <v>42.7</v>
      </c>
      <c r="I8" s="1">
        <v>39</v>
      </c>
      <c r="J8" s="6">
        <v>46.9</v>
      </c>
      <c r="K8" s="5">
        <v>0.185</v>
      </c>
      <c r="L8" s="6">
        <v>0.2</v>
      </c>
      <c r="M8" s="1">
        <v>65</v>
      </c>
      <c r="N8" s="6">
        <v>73</v>
      </c>
      <c r="O8" s="1" t="s">
        <v>24</v>
      </c>
      <c r="P8" s="1">
        <v>4</v>
      </c>
      <c r="Q8" s="1" t="s">
        <v>23</v>
      </c>
      <c r="R8" s="6">
        <v>5</v>
      </c>
      <c r="S8" s="1">
        <v>7</v>
      </c>
      <c r="T8" s="1">
        <v>9</v>
      </c>
      <c r="U8" s="12" t="s">
        <v>22</v>
      </c>
    </row>
    <row r="9" spans="1:21" s="1" customFormat="1">
      <c r="A9" s="5" t="s">
        <v>50</v>
      </c>
      <c r="B9" s="1">
        <v>1883</v>
      </c>
      <c r="C9" s="1" t="s">
        <v>20</v>
      </c>
      <c r="D9" s="1">
        <v>5</v>
      </c>
      <c r="E9" s="5">
        <v>30</v>
      </c>
      <c r="F9" s="6">
        <v>30.02</v>
      </c>
      <c r="G9" s="1">
        <v>44</v>
      </c>
      <c r="H9" s="1">
        <v>44.1</v>
      </c>
      <c r="I9" s="1">
        <v>38.799999999999997</v>
      </c>
      <c r="J9" s="6">
        <v>45.6</v>
      </c>
      <c r="K9" s="5">
        <v>0.188</v>
      </c>
      <c r="L9" s="6">
        <v>0.20799999999999999</v>
      </c>
      <c r="M9" s="1">
        <v>65</v>
      </c>
      <c r="N9" s="6">
        <v>72</v>
      </c>
      <c r="O9" s="1" t="s">
        <v>23</v>
      </c>
      <c r="P9" s="1">
        <v>5</v>
      </c>
      <c r="Q9" s="1" t="s">
        <v>23</v>
      </c>
      <c r="R9" s="6">
        <v>6</v>
      </c>
      <c r="S9" s="1">
        <v>2</v>
      </c>
      <c r="T9" s="1">
        <v>10</v>
      </c>
      <c r="U9" s="12" t="s">
        <v>22</v>
      </c>
    </row>
    <row r="10" spans="1:21" s="1" customFormat="1">
      <c r="A10" s="5" t="s">
        <v>50</v>
      </c>
      <c r="B10" s="1">
        <v>1883</v>
      </c>
      <c r="C10" s="1" t="s">
        <v>20</v>
      </c>
      <c r="D10" s="1">
        <v>6</v>
      </c>
      <c r="E10" s="5">
        <v>30.04</v>
      </c>
      <c r="F10" s="6">
        <v>29.97</v>
      </c>
      <c r="G10" s="1">
        <v>46.7</v>
      </c>
      <c r="H10" s="1">
        <v>49.2</v>
      </c>
      <c r="I10" s="1">
        <v>41.2</v>
      </c>
      <c r="J10" s="6">
        <v>53.8</v>
      </c>
      <c r="K10" s="5">
        <v>0.22900000000000001</v>
      </c>
      <c r="L10" s="6">
        <v>0.29499999999999998</v>
      </c>
      <c r="M10" s="1">
        <v>73</v>
      </c>
      <c r="N10" s="6">
        <v>85</v>
      </c>
      <c r="O10" s="1" t="s">
        <v>23</v>
      </c>
      <c r="P10" s="1">
        <v>4</v>
      </c>
      <c r="Q10" s="1" t="s">
        <v>23</v>
      </c>
      <c r="R10" s="6">
        <v>2</v>
      </c>
      <c r="S10" s="1">
        <v>4</v>
      </c>
      <c r="T10" s="1">
        <v>0</v>
      </c>
      <c r="U10" s="12" t="s">
        <v>22</v>
      </c>
    </row>
    <row r="11" spans="1:21" s="1" customFormat="1">
      <c r="A11" s="5" t="s">
        <v>50</v>
      </c>
      <c r="B11" s="1">
        <v>1883</v>
      </c>
      <c r="C11" s="1" t="s">
        <v>20</v>
      </c>
      <c r="D11" s="1">
        <v>7</v>
      </c>
      <c r="E11" s="5">
        <v>29.82</v>
      </c>
      <c r="F11" s="6">
        <v>29.65</v>
      </c>
      <c r="G11" s="1">
        <v>48.8</v>
      </c>
      <c r="H11" s="1">
        <v>45</v>
      </c>
      <c r="I11" s="1">
        <v>41</v>
      </c>
      <c r="J11" s="6">
        <v>52</v>
      </c>
      <c r="K11" s="5">
        <v>0.218</v>
      </c>
      <c r="L11" s="6">
        <v>0.27500000000000002</v>
      </c>
      <c r="M11" s="1">
        <v>63</v>
      </c>
      <c r="N11" s="6">
        <v>92</v>
      </c>
      <c r="O11" s="1" t="s">
        <v>23</v>
      </c>
      <c r="P11" s="1">
        <v>2</v>
      </c>
      <c r="Q11" s="1" t="s">
        <v>21</v>
      </c>
      <c r="R11" s="6">
        <v>3</v>
      </c>
      <c r="S11" s="1">
        <v>0</v>
      </c>
      <c r="T11" s="1">
        <v>10</v>
      </c>
      <c r="U11" s="12">
        <v>0.28999999999999998</v>
      </c>
    </row>
    <row r="12" spans="1:21" s="1" customFormat="1">
      <c r="A12" s="5" t="s">
        <v>50</v>
      </c>
      <c r="B12" s="1">
        <v>1883</v>
      </c>
      <c r="C12" s="1" t="s">
        <v>20</v>
      </c>
      <c r="D12" s="1">
        <v>8</v>
      </c>
      <c r="E12" s="5">
        <v>29.57</v>
      </c>
      <c r="F12" s="6">
        <v>29.57</v>
      </c>
      <c r="G12" s="1">
        <v>43</v>
      </c>
      <c r="H12" s="1">
        <v>42.2</v>
      </c>
      <c r="I12" s="1">
        <v>39.200000000000003</v>
      </c>
      <c r="J12" s="6">
        <v>45.6</v>
      </c>
      <c r="K12" s="5">
        <v>0.25700000000000001</v>
      </c>
      <c r="L12" s="6">
        <v>0.24199999999999999</v>
      </c>
      <c r="M12" s="1">
        <v>93</v>
      </c>
      <c r="N12" s="6">
        <v>90</v>
      </c>
      <c r="O12" s="1" t="s">
        <v>23</v>
      </c>
      <c r="P12" s="1">
        <v>2</v>
      </c>
      <c r="Q12" s="1" t="s">
        <v>23</v>
      </c>
      <c r="R12" s="6">
        <v>4</v>
      </c>
      <c r="S12" s="1">
        <v>10</v>
      </c>
      <c r="T12" s="1">
        <v>10</v>
      </c>
      <c r="U12" s="12">
        <v>0.53500000000000003</v>
      </c>
    </row>
    <row r="13" spans="1:21" s="1" customFormat="1">
      <c r="A13" s="5" t="s">
        <v>50</v>
      </c>
      <c r="B13" s="1">
        <v>1883</v>
      </c>
      <c r="C13" s="1" t="s">
        <v>20</v>
      </c>
      <c r="D13" s="1">
        <v>9</v>
      </c>
      <c r="E13" s="5">
        <v>29.61</v>
      </c>
      <c r="F13" s="6">
        <v>29.71</v>
      </c>
      <c r="G13" s="1">
        <v>41.2</v>
      </c>
      <c r="H13" s="1">
        <v>43</v>
      </c>
      <c r="I13" s="1">
        <v>38.5</v>
      </c>
      <c r="J13" s="6">
        <v>46.8</v>
      </c>
      <c r="K13" s="5">
        <v>0.218</v>
      </c>
      <c r="L13" s="6">
        <v>0.19900000000000001</v>
      </c>
      <c r="M13" s="1">
        <v>85</v>
      </c>
      <c r="N13" s="6">
        <v>72</v>
      </c>
      <c r="O13" s="1" t="s">
        <v>23</v>
      </c>
      <c r="P13" s="1">
        <v>2</v>
      </c>
      <c r="Q13" s="1" t="s">
        <v>23</v>
      </c>
      <c r="R13" s="6">
        <v>4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50</v>
      </c>
      <c r="B14" s="1">
        <v>1883</v>
      </c>
      <c r="C14" s="1" t="s">
        <v>20</v>
      </c>
      <c r="D14" s="1">
        <v>10</v>
      </c>
      <c r="E14" s="5">
        <v>29.68</v>
      </c>
      <c r="F14" s="6">
        <v>29.74</v>
      </c>
      <c r="G14" s="1">
        <v>41.2</v>
      </c>
      <c r="H14" s="1">
        <v>44</v>
      </c>
      <c r="I14" s="1">
        <v>40.200000000000003</v>
      </c>
      <c r="J14" s="6">
        <v>48.1</v>
      </c>
      <c r="K14" s="5">
        <v>0.20300000000000001</v>
      </c>
      <c r="L14" s="6">
        <v>0.21</v>
      </c>
      <c r="M14" s="1">
        <v>79</v>
      </c>
      <c r="N14" s="6">
        <v>72</v>
      </c>
      <c r="O14" s="1" t="s">
        <v>23</v>
      </c>
      <c r="P14" s="1">
        <v>2</v>
      </c>
      <c r="Q14" s="1" t="s">
        <v>28</v>
      </c>
      <c r="R14" s="6">
        <v>2</v>
      </c>
      <c r="S14" s="1">
        <v>10</v>
      </c>
      <c r="T14" s="1">
        <v>6</v>
      </c>
      <c r="U14" s="12" t="s">
        <v>22</v>
      </c>
    </row>
    <row r="15" spans="1:21" s="1" customFormat="1">
      <c r="A15" s="5" t="s">
        <v>50</v>
      </c>
      <c r="B15" s="1">
        <v>1883</v>
      </c>
      <c r="C15" s="1" t="s">
        <v>20</v>
      </c>
      <c r="D15" s="1">
        <v>11</v>
      </c>
      <c r="E15" s="5">
        <v>29.83</v>
      </c>
      <c r="F15" s="6">
        <v>29.8</v>
      </c>
      <c r="G15" s="1">
        <v>44.9</v>
      </c>
      <c r="H15" s="1">
        <v>44.9</v>
      </c>
      <c r="I15" s="1">
        <v>39.799999999999997</v>
      </c>
      <c r="J15" s="6">
        <v>51</v>
      </c>
      <c r="K15" s="5">
        <v>0.21299999999999999</v>
      </c>
      <c r="L15" s="6">
        <v>0.22900000000000001</v>
      </c>
      <c r="M15" s="1">
        <v>72</v>
      </c>
      <c r="N15" s="6">
        <v>77</v>
      </c>
      <c r="O15" s="1" t="s">
        <v>26</v>
      </c>
      <c r="P15" s="1">
        <v>3</v>
      </c>
      <c r="Q15" s="1" t="s">
        <v>26</v>
      </c>
      <c r="R15" s="6">
        <v>2</v>
      </c>
      <c r="S15" s="1">
        <v>7</v>
      </c>
      <c r="T15" s="1">
        <v>10</v>
      </c>
      <c r="U15" s="12">
        <v>6.5000000000000002E-2</v>
      </c>
    </row>
    <row r="16" spans="1:21" s="1" customFormat="1">
      <c r="A16" s="5" t="s">
        <v>50</v>
      </c>
      <c r="B16" s="1">
        <v>1883</v>
      </c>
      <c r="C16" s="1" t="s">
        <v>20</v>
      </c>
      <c r="D16" s="1">
        <v>12</v>
      </c>
      <c r="E16" s="5">
        <v>29.57</v>
      </c>
      <c r="F16" s="6">
        <v>29.66</v>
      </c>
      <c r="G16" s="1">
        <v>54</v>
      </c>
      <c r="H16" s="1">
        <v>55.8</v>
      </c>
      <c r="I16" s="1">
        <v>43</v>
      </c>
      <c r="J16" s="6">
        <v>58</v>
      </c>
      <c r="K16" s="5">
        <v>0.34300000000000003</v>
      </c>
      <c r="L16" s="6">
        <v>0.378</v>
      </c>
      <c r="M16" s="1">
        <v>82</v>
      </c>
      <c r="N16" s="6">
        <v>85</v>
      </c>
      <c r="O16" s="1" t="s">
        <v>26</v>
      </c>
      <c r="P16" s="1">
        <v>3</v>
      </c>
      <c r="Q16" s="1" t="s">
        <v>25</v>
      </c>
      <c r="R16" s="6">
        <v>6</v>
      </c>
      <c r="S16" s="1">
        <v>10</v>
      </c>
      <c r="T16" s="1">
        <v>8</v>
      </c>
      <c r="U16" s="12" t="s">
        <v>22</v>
      </c>
    </row>
    <row r="17" spans="1:21" s="1" customFormat="1">
      <c r="A17" s="5" t="s">
        <v>50</v>
      </c>
      <c r="B17" s="1">
        <v>1883</v>
      </c>
      <c r="C17" s="1" t="s">
        <v>20</v>
      </c>
      <c r="D17" s="1">
        <v>13</v>
      </c>
      <c r="E17" s="5">
        <v>29.71</v>
      </c>
      <c r="F17" s="6">
        <v>29.76</v>
      </c>
      <c r="G17" s="1">
        <v>57</v>
      </c>
      <c r="H17" s="1">
        <v>52.5</v>
      </c>
      <c r="I17" s="1">
        <v>51.3</v>
      </c>
      <c r="J17" s="6">
        <v>61.7</v>
      </c>
      <c r="K17" s="5">
        <v>0.33900000000000002</v>
      </c>
      <c r="L17" s="6">
        <v>0.30499999999999999</v>
      </c>
      <c r="M17" s="1">
        <v>73</v>
      </c>
      <c r="N17" s="6">
        <v>77</v>
      </c>
      <c r="O17" s="1" t="s">
        <v>26</v>
      </c>
      <c r="P17" s="1">
        <v>4</v>
      </c>
      <c r="Q17" s="1" t="s">
        <v>25</v>
      </c>
      <c r="R17" s="6">
        <v>2</v>
      </c>
      <c r="S17" s="1">
        <v>9</v>
      </c>
      <c r="T17" s="1">
        <v>5</v>
      </c>
      <c r="U17" s="12" t="s">
        <v>22</v>
      </c>
    </row>
    <row r="18" spans="1:21" s="1" customFormat="1">
      <c r="A18" s="5" t="s">
        <v>50</v>
      </c>
      <c r="B18" s="1">
        <v>1883</v>
      </c>
      <c r="C18" s="1" t="s">
        <v>20</v>
      </c>
      <c r="D18" s="1">
        <v>14</v>
      </c>
      <c r="E18" s="5">
        <v>29.84</v>
      </c>
      <c r="F18" s="6">
        <v>29.92</v>
      </c>
      <c r="G18" s="1">
        <v>54.8</v>
      </c>
      <c r="H18" s="1">
        <v>52</v>
      </c>
      <c r="I18" s="1">
        <v>46.2</v>
      </c>
      <c r="J18" s="6">
        <v>62</v>
      </c>
      <c r="K18" s="5">
        <v>0.29699999999999999</v>
      </c>
      <c r="L18" s="6">
        <v>0.33</v>
      </c>
      <c r="M18" s="1">
        <v>70</v>
      </c>
      <c r="N18" s="6">
        <v>85</v>
      </c>
      <c r="O18" s="1" t="s">
        <v>25</v>
      </c>
      <c r="P18" s="1">
        <v>1</v>
      </c>
      <c r="Q18" s="1" t="s">
        <v>25</v>
      </c>
      <c r="R18" s="6">
        <v>1</v>
      </c>
      <c r="S18" s="1">
        <v>9</v>
      </c>
      <c r="T18" s="1">
        <v>7</v>
      </c>
      <c r="U18" s="12" t="s">
        <v>22</v>
      </c>
    </row>
    <row r="19" spans="1:21" s="1" customFormat="1">
      <c r="A19" s="5" t="s">
        <v>50</v>
      </c>
      <c r="B19" s="1">
        <v>1883</v>
      </c>
      <c r="C19" s="1" t="s">
        <v>20</v>
      </c>
      <c r="D19" s="1">
        <v>15</v>
      </c>
      <c r="E19" s="5">
        <v>30.12</v>
      </c>
      <c r="F19" s="6">
        <v>30.28</v>
      </c>
      <c r="G19" s="1">
        <v>52</v>
      </c>
      <c r="H19" s="1">
        <v>48.9</v>
      </c>
      <c r="I19" s="1">
        <v>46.4</v>
      </c>
      <c r="J19" s="6">
        <v>54</v>
      </c>
      <c r="K19" s="5">
        <v>0.33500000000000002</v>
      </c>
      <c r="L19" s="6">
        <v>0.30299999999999999</v>
      </c>
      <c r="M19" s="1">
        <v>86</v>
      </c>
      <c r="N19" s="6">
        <v>88</v>
      </c>
      <c r="O19" s="1" t="s">
        <v>24</v>
      </c>
      <c r="P19" s="1">
        <v>1</v>
      </c>
      <c r="Q19" s="1" t="s">
        <v>28</v>
      </c>
      <c r="R19" s="6">
        <v>1</v>
      </c>
      <c r="S19" s="1">
        <v>10</v>
      </c>
      <c r="T19" s="1">
        <v>3</v>
      </c>
      <c r="U19" s="12" t="s">
        <v>22</v>
      </c>
    </row>
    <row r="20" spans="1:21" s="1" customFormat="1">
      <c r="A20" s="5" t="s">
        <v>50</v>
      </c>
      <c r="B20" s="1">
        <v>1883</v>
      </c>
      <c r="C20" s="1" t="s">
        <v>20</v>
      </c>
      <c r="D20" s="1">
        <v>16</v>
      </c>
      <c r="E20" s="5">
        <v>30.41</v>
      </c>
      <c r="F20" s="6">
        <v>30.42</v>
      </c>
      <c r="G20" s="1">
        <v>55.1</v>
      </c>
      <c r="H20" s="1">
        <v>50</v>
      </c>
      <c r="I20" s="1">
        <v>43.2</v>
      </c>
      <c r="J20" s="6">
        <v>59</v>
      </c>
      <c r="K20" s="5">
        <v>0.32200000000000001</v>
      </c>
      <c r="L20" s="6">
        <v>0.248</v>
      </c>
      <c r="M20" s="1">
        <v>75</v>
      </c>
      <c r="N20" s="6">
        <v>69</v>
      </c>
      <c r="O20" s="1" t="s">
        <v>28</v>
      </c>
      <c r="P20" s="1">
        <v>1</v>
      </c>
      <c r="Q20" s="1" t="s">
        <v>28</v>
      </c>
      <c r="R20" s="6">
        <v>1</v>
      </c>
      <c r="S20" s="1">
        <v>0</v>
      </c>
      <c r="T20" s="1">
        <v>0</v>
      </c>
      <c r="U20" s="12" t="s">
        <v>22</v>
      </c>
    </row>
    <row r="21" spans="1:21" s="1" customFormat="1">
      <c r="A21" s="5" t="s">
        <v>50</v>
      </c>
      <c r="B21" s="1">
        <v>1883</v>
      </c>
      <c r="C21" s="1" t="s">
        <v>20</v>
      </c>
      <c r="D21" s="1">
        <v>17</v>
      </c>
      <c r="E21" s="5">
        <v>30.41</v>
      </c>
      <c r="F21" s="6">
        <v>30.4</v>
      </c>
      <c r="G21" s="1">
        <v>59.8</v>
      </c>
      <c r="H21" s="1">
        <v>51</v>
      </c>
      <c r="I21" s="1">
        <v>47</v>
      </c>
      <c r="J21" s="6">
        <v>63.2</v>
      </c>
      <c r="K21" s="5">
        <v>0.318</v>
      </c>
      <c r="L21" s="6">
        <v>0.307</v>
      </c>
      <c r="M21" s="1">
        <v>62</v>
      </c>
      <c r="N21" s="6">
        <v>82</v>
      </c>
      <c r="O21" s="1" t="s">
        <v>29</v>
      </c>
      <c r="P21" s="1">
        <v>1</v>
      </c>
      <c r="Q21" s="1" t="s">
        <v>25</v>
      </c>
      <c r="R21" s="6">
        <v>1</v>
      </c>
      <c r="S21" s="1">
        <v>7</v>
      </c>
      <c r="T21" s="1">
        <v>2</v>
      </c>
      <c r="U21" s="12" t="s">
        <v>22</v>
      </c>
    </row>
    <row r="22" spans="1:21" s="1" customFormat="1">
      <c r="A22" s="5" t="s">
        <v>50</v>
      </c>
      <c r="B22" s="1">
        <v>1883</v>
      </c>
      <c r="C22" s="1" t="s">
        <v>20</v>
      </c>
      <c r="D22" s="1">
        <v>18</v>
      </c>
      <c r="E22" s="5">
        <v>30.36</v>
      </c>
      <c r="F22" s="6">
        <v>30.15</v>
      </c>
      <c r="G22" s="1">
        <v>53.2</v>
      </c>
      <c r="H22" s="1">
        <v>50.8</v>
      </c>
      <c r="I22" s="1">
        <v>45.5</v>
      </c>
      <c r="J22" s="6">
        <v>58</v>
      </c>
      <c r="K22" s="5">
        <v>0.29699999999999999</v>
      </c>
      <c r="L22" s="6">
        <v>0.28499999999999998</v>
      </c>
      <c r="M22" s="1">
        <v>73</v>
      </c>
      <c r="N22" s="6">
        <v>77</v>
      </c>
      <c r="O22" s="1" t="s">
        <v>26</v>
      </c>
      <c r="P22" s="1">
        <v>1</v>
      </c>
      <c r="Q22" s="1" t="s">
        <v>26</v>
      </c>
      <c r="R22" s="6">
        <v>3</v>
      </c>
      <c r="S22" s="1">
        <v>0</v>
      </c>
      <c r="T22" s="1">
        <v>10</v>
      </c>
      <c r="U22" s="12" t="s">
        <v>22</v>
      </c>
    </row>
    <row r="23" spans="1:21" s="1" customFormat="1">
      <c r="A23" s="5" t="s">
        <v>50</v>
      </c>
      <c r="B23" s="1">
        <v>1883</v>
      </c>
      <c r="C23" s="1" t="s">
        <v>20</v>
      </c>
      <c r="D23" s="1">
        <v>19</v>
      </c>
      <c r="E23" s="5">
        <v>30.09</v>
      </c>
      <c r="F23" s="6">
        <v>30.05</v>
      </c>
      <c r="G23" s="1">
        <v>51.2</v>
      </c>
      <c r="H23" s="1">
        <v>50</v>
      </c>
      <c r="I23" s="1">
        <v>47.5</v>
      </c>
      <c r="J23" s="6">
        <v>57.8</v>
      </c>
      <c r="K23" s="5">
        <v>0.28899999999999998</v>
      </c>
      <c r="L23" s="6">
        <v>0.33900000000000002</v>
      </c>
      <c r="M23" s="1">
        <v>77</v>
      </c>
      <c r="N23" s="6">
        <v>94</v>
      </c>
      <c r="O23" s="1" t="s">
        <v>27</v>
      </c>
      <c r="P23" s="1">
        <v>1</v>
      </c>
      <c r="Q23" s="1" t="s">
        <v>26</v>
      </c>
      <c r="R23" s="6">
        <v>1</v>
      </c>
      <c r="S23" s="1">
        <v>9</v>
      </c>
      <c r="T23" s="1">
        <v>10</v>
      </c>
      <c r="U23" s="12">
        <v>0.46600000000000003</v>
      </c>
    </row>
    <row r="24" spans="1:21" s="1" customFormat="1">
      <c r="A24" s="5" t="s">
        <v>50</v>
      </c>
      <c r="B24" s="1">
        <v>1883</v>
      </c>
      <c r="C24" s="1" t="s">
        <v>20</v>
      </c>
      <c r="D24" s="1">
        <v>20</v>
      </c>
      <c r="E24" s="5">
        <v>30.04</v>
      </c>
      <c r="F24" s="6">
        <v>30.1</v>
      </c>
      <c r="G24" s="1">
        <v>50.5</v>
      </c>
      <c r="H24" s="1">
        <v>51</v>
      </c>
      <c r="I24" s="1">
        <v>48.8</v>
      </c>
      <c r="J24" s="6">
        <v>52.5</v>
      </c>
      <c r="K24" s="5">
        <v>0.35199999999999998</v>
      </c>
      <c r="L24" s="6">
        <v>0.34799999999999998</v>
      </c>
      <c r="M24" s="1">
        <v>96</v>
      </c>
      <c r="N24" s="6">
        <v>93</v>
      </c>
      <c r="O24" s="1" t="s">
        <v>26</v>
      </c>
      <c r="P24" s="1">
        <v>1</v>
      </c>
      <c r="Q24" s="1" t="s">
        <v>26</v>
      </c>
      <c r="R24" s="6">
        <v>1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50</v>
      </c>
      <c r="B25" s="1">
        <v>1883</v>
      </c>
      <c r="C25" s="1" t="s">
        <v>20</v>
      </c>
      <c r="D25" s="1">
        <v>21</v>
      </c>
      <c r="E25" s="5">
        <v>30.16</v>
      </c>
      <c r="F25" s="6">
        <v>30.15</v>
      </c>
      <c r="G25" s="1">
        <v>54</v>
      </c>
      <c r="H25" s="1">
        <v>53.8</v>
      </c>
      <c r="I25" s="1">
        <v>49.8</v>
      </c>
      <c r="J25" s="6">
        <v>58.3</v>
      </c>
      <c r="K25" s="5">
        <v>0.371</v>
      </c>
      <c r="L25" s="6">
        <v>0.33100000000000002</v>
      </c>
      <c r="M25" s="1">
        <v>89</v>
      </c>
      <c r="N25" s="6">
        <v>79</v>
      </c>
      <c r="O25" s="1" t="s">
        <v>27</v>
      </c>
      <c r="P25" s="1">
        <v>1</v>
      </c>
      <c r="Q25" s="1" t="s">
        <v>27</v>
      </c>
      <c r="R25" s="6">
        <v>2</v>
      </c>
      <c r="S25" s="1">
        <v>10</v>
      </c>
      <c r="T25" s="1">
        <v>6</v>
      </c>
      <c r="U25" s="12" t="s">
        <v>22</v>
      </c>
    </row>
    <row r="26" spans="1:21" s="1" customFormat="1">
      <c r="A26" s="5" t="s">
        <v>50</v>
      </c>
      <c r="B26" s="1">
        <v>1883</v>
      </c>
      <c r="C26" s="1" t="s">
        <v>20</v>
      </c>
      <c r="D26" s="1">
        <v>22</v>
      </c>
      <c r="E26" s="5">
        <v>30.13</v>
      </c>
      <c r="F26" s="6">
        <v>30.13</v>
      </c>
      <c r="G26" s="1">
        <v>63</v>
      </c>
      <c r="H26" s="1">
        <v>54</v>
      </c>
      <c r="I26" s="1">
        <v>49.8</v>
      </c>
      <c r="J26" s="6">
        <v>64.900000000000006</v>
      </c>
      <c r="K26" s="5">
        <v>0.39700000000000002</v>
      </c>
      <c r="L26" s="6">
        <v>0.35599999999999998</v>
      </c>
      <c r="M26" s="1">
        <v>69</v>
      </c>
      <c r="N26" s="6">
        <v>85</v>
      </c>
      <c r="O26" s="1" t="s">
        <v>26</v>
      </c>
      <c r="P26" s="1">
        <v>1</v>
      </c>
      <c r="Q26" s="1" t="s">
        <v>27</v>
      </c>
      <c r="R26" s="6">
        <v>3</v>
      </c>
      <c r="S26" s="1">
        <v>0</v>
      </c>
      <c r="T26" s="1">
        <v>5</v>
      </c>
      <c r="U26" s="12" t="s">
        <v>22</v>
      </c>
    </row>
    <row r="27" spans="1:21" s="1" customFormat="1">
      <c r="A27" s="5" t="s">
        <v>50</v>
      </c>
      <c r="B27" s="1">
        <v>1883</v>
      </c>
      <c r="C27" s="1" t="s">
        <v>20</v>
      </c>
      <c r="D27" s="1">
        <v>23</v>
      </c>
      <c r="E27" s="5">
        <v>30.13</v>
      </c>
      <c r="F27" s="6">
        <v>30.1</v>
      </c>
      <c r="G27" s="1">
        <v>60.6</v>
      </c>
      <c r="H27" s="1">
        <v>57</v>
      </c>
      <c r="I27" s="1">
        <v>49.5</v>
      </c>
      <c r="J27" s="6">
        <v>62.1</v>
      </c>
      <c r="K27" s="5">
        <v>0.39900000000000002</v>
      </c>
      <c r="L27" s="6">
        <v>0.35699999999999998</v>
      </c>
      <c r="M27" s="1">
        <v>76</v>
      </c>
      <c r="N27" s="6">
        <v>76</v>
      </c>
      <c r="O27" s="1" t="s">
        <v>27</v>
      </c>
      <c r="P27" s="1">
        <v>1</v>
      </c>
      <c r="Q27" s="1" t="s">
        <v>27</v>
      </c>
      <c r="R27" s="6">
        <v>2</v>
      </c>
      <c r="S27" s="1">
        <v>0</v>
      </c>
      <c r="T27" s="1">
        <v>7</v>
      </c>
      <c r="U27" s="12" t="s">
        <v>22</v>
      </c>
    </row>
    <row r="28" spans="1:21" s="1" customFormat="1">
      <c r="A28" s="5" t="s">
        <v>50</v>
      </c>
      <c r="B28" s="1">
        <v>1883</v>
      </c>
      <c r="C28" s="1" t="s">
        <v>20</v>
      </c>
      <c r="D28" s="1">
        <v>24</v>
      </c>
      <c r="E28" s="5">
        <v>30.07</v>
      </c>
      <c r="F28" s="6">
        <v>30</v>
      </c>
      <c r="G28" s="1">
        <v>62.3</v>
      </c>
      <c r="H28" s="1">
        <v>54</v>
      </c>
      <c r="I28" s="1">
        <v>50</v>
      </c>
      <c r="J28" s="6">
        <v>65</v>
      </c>
      <c r="K28" s="5">
        <v>0.375</v>
      </c>
      <c r="L28" s="6">
        <v>0.29399999999999998</v>
      </c>
      <c r="M28" s="1">
        <v>68</v>
      </c>
      <c r="N28" s="6">
        <v>70</v>
      </c>
      <c r="O28" s="1" t="s">
        <v>29</v>
      </c>
      <c r="P28" s="1">
        <v>1</v>
      </c>
      <c r="Q28" s="1" t="s">
        <v>43</v>
      </c>
      <c r="R28" s="6">
        <v>4</v>
      </c>
      <c r="S28" s="1">
        <v>0</v>
      </c>
      <c r="T28" s="1">
        <v>4</v>
      </c>
      <c r="U28" s="12" t="s">
        <v>22</v>
      </c>
    </row>
    <row r="29" spans="1:21" s="1" customFormat="1">
      <c r="A29" s="5" t="s">
        <v>50</v>
      </c>
      <c r="B29" s="1">
        <v>1883</v>
      </c>
      <c r="C29" s="1" t="s">
        <v>20</v>
      </c>
      <c r="D29" s="1">
        <v>25</v>
      </c>
      <c r="E29" s="5">
        <v>29.89</v>
      </c>
      <c r="F29" s="6">
        <v>29.73</v>
      </c>
      <c r="G29" s="1">
        <v>60.2</v>
      </c>
      <c r="H29" s="1">
        <v>52.8</v>
      </c>
      <c r="I29" s="1">
        <v>49.8</v>
      </c>
      <c r="J29" s="6">
        <v>65.3</v>
      </c>
      <c r="K29" s="5">
        <v>0.33300000000000002</v>
      </c>
      <c r="L29" s="6">
        <v>0.34300000000000003</v>
      </c>
      <c r="M29" s="1">
        <v>63</v>
      </c>
      <c r="N29" s="6">
        <v>85</v>
      </c>
      <c r="O29" s="1" t="s">
        <v>26</v>
      </c>
      <c r="P29" s="1">
        <v>2</v>
      </c>
      <c r="Q29" s="1" t="s">
        <v>26</v>
      </c>
      <c r="R29" s="6">
        <v>2</v>
      </c>
      <c r="S29" s="1">
        <v>2</v>
      </c>
      <c r="T29" s="1">
        <v>8</v>
      </c>
      <c r="U29" s="12">
        <v>0.04</v>
      </c>
    </row>
    <row r="30" spans="1:21" s="1" customFormat="1">
      <c r="A30" s="5" t="s">
        <v>50</v>
      </c>
      <c r="B30" s="1">
        <v>1883</v>
      </c>
      <c r="C30" s="1" t="s">
        <v>20</v>
      </c>
      <c r="D30" s="1">
        <v>26</v>
      </c>
      <c r="E30" s="5">
        <v>29.72</v>
      </c>
      <c r="F30" s="6">
        <v>29.85</v>
      </c>
      <c r="G30" s="1">
        <v>49.3</v>
      </c>
      <c r="H30" s="1">
        <v>48</v>
      </c>
      <c r="I30" s="1">
        <v>46.8</v>
      </c>
      <c r="J30" s="6">
        <v>57</v>
      </c>
      <c r="K30" s="5">
        <v>0.30099999999999999</v>
      </c>
      <c r="L30" s="6">
        <v>0.26</v>
      </c>
      <c r="M30" s="1">
        <v>86</v>
      </c>
      <c r="N30" s="6">
        <v>78</v>
      </c>
      <c r="O30" s="1" t="s">
        <v>27</v>
      </c>
      <c r="P30" s="1">
        <v>1</v>
      </c>
      <c r="Q30" s="1" t="s">
        <v>27</v>
      </c>
      <c r="R30" s="6">
        <v>1</v>
      </c>
      <c r="S30" s="1">
        <v>10</v>
      </c>
      <c r="T30" s="1">
        <v>5</v>
      </c>
      <c r="U30" s="12" t="s">
        <v>22</v>
      </c>
    </row>
    <row r="31" spans="1:21" s="1" customFormat="1">
      <c r="A31" s="5" t="s">
        <v>50</v>
      </c>
      <c r="B31" s="1">
        <v>1883</v>
      </c>
      <c r="C31" s="1" t="s">
        <v>20</v>
      </c>
      <c r="D31" s="1">
        <v>27</v>
      </c>
      <c r="E31" s="5">
        <v>29.99</v>
      </c>
      <c r="F31" s="6">
        <v>29.99</v>
      </c>
      <c r="G31" s="1">
        <v>56.4</v>
      </c>
      <c r="H31" s="1">
        <v>50.2</v>
      </c>
      <c r="I31" s="1">
        <v>42.8</v>
      </c>
      <c r="J31" s="6">
        <v>61</v>
      </c>
      <c r="K31" s="5">
        <v>0.26300000000000001</v>
      </c>
      <c r="L31" s="6">
        <v>0.27700000000000002</v>
      </c>
      <c r="M31" s="1">
        <v>58</v>
      </c>
      <c r="N31" s="6">
        <v>77</v>
      </c>
      <c r="O31" s="1" t="s">
        <v>28</v>
      </c>
      <c r="P31" s="1">
        <v>1</v>
      </c>
      <c r="Q31" s="1" t="s">
        <v>25</v>
      </c>
      <c r="R31" s="6">
        <v>1</v>
      </c>
      <c r="S31" s="1">
        <v>0</v>
      </c>
      <c r="T31" s="1">
        <v>4</v>
      </c>
      <c r="U31" s="12" t="s">
        <v>22</v>
      </c>
    </row>
    <row r="32" spans="1:21" s="1" customFormat="1">
      <c r="A32" s="5" t="s">
        <v>50</v>
      </c>
      <c r="B32" s="1">
        <v>1883</v>
      </c>
      <c r="C32" s="1" t="s">
        <v>20</v>
      </c>
      <c r="D32" s="1">
        <v>28</v>
      </c>
      <c r="E32" s="5">
        <v>29.87</v>
      </c>
      <c r="F32" s="6">
        <v>29.84</v>
      </c>
      <c r="G32" s="1">
        <v>57.8</v>
      </c>
      <c r="H32" s="1">
        <v>57.8</v>
      </c>
      <c r="I32" s="1">
        <v>49.2</v>
      </c>
      <c r="J32" s="6">
        <v>61</v>
      </c>
      <c r="K32" s="5">
        <v>0.35099999999999998</v>
      </c>
      <c r="L32" s="6">
        <v>0.371</v>
      </c>
      <c r="M32" s="1">
        <v>74</v>
      </c>
      <c r="N32" s="6">
        <v>78</v>
      </c>
      <c r="O32" s="1" t="s">
        <v>25</v>
      </c>
      <c r="P32" s="1">
        <v>4</v>
      </c>
      <c r="Q32" s="1" t="s">
        <v>25</v>
      </c>
      <c r="R32" s="6">
        <v>5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50</v>
      </c>
      <c r="B33" s="1">
        <v>1883</v>
      </c>
      <c r="C33" s="1" t="s">
        <v>20</v>
      </c>
      <c r="D33" s="1">
        <v>29</v>
      </c>
      <c r="E33" s="5">
        <v>29.9</v>
      </c>
      <c r="F33" s="6">
        <v>30.13</v>
      </c>
      <c r="G33" s="1">
        <v>57.9</v>
      </c>
      <c r="H33" s="1">
        <v>52.2</v>
      </c>
      <c r="I33" s="1">
        <v>51</v>
      </c>
      <c r="J33" s="6">
        <v>60</v>
      </c>
      <c r="K33" s="5">
        <v>0.33300000000000002</v>
      </c>
      <c r="L33" s="6">
        <v>0.307</v>
      </c>
      <c r="M33" s="1">
        <v>69</v>
      </c>
      <c r="N33" s="6">
        <v>79</v>
      </c>
      <c r="O33" s="1" t="s">
        <v>26</v>
      </c>
      <c r="P33" s="1">
        <v>3</v>
      </c>
      <c r="Q33" s="1" t="s">
        <v>26</v>
      </c>
      <c r="R33" s="6">
        <v>2</v>
      </c>
      <c r="S33" s="1">
        <v>1</v>
      </c>
      <c r="T33" s="1">
        <v>10</v>
      </c>
      <c r="U33" s="12">
        <v>0.02</v>
      </c>
    </row>
    <row r="34" spans="1:21" s="1" customFormat="1">
      <c r="A34" s="5" t="s">
        <v>50</v>
      </c>
      <c r="B34" s="1">
        <v>1883</v>
      </c>
      <c r="C34" s="1" t="s">
        <v>20</v>
      </c>
      <c r="D34" s="1">
        <v>30</v>
      </c>
      <c r="E34" s="5">
        <v>30.18</v>
      </c>
      <c r="F34" s="6">
        <v>30.2</v>
      </c>
      <c r="G34" s="1">
        <v>55.5</v>
      </c>
      <c r="H34" s="1">
        <v>53</v>
      </c>
      <c r="I34" s="1">
        <v>48.2</v>
      </c>
      <c r="J34" s="6">
        <v>59.1</v>
      </c>
      <c r="K34" s="5">
        <v>0.32900000000000001</v>
      </c>
      <c r="L34" s="6">
        <v>0.308</v>
      </c>
      <c r="M34" s="1">
        <v>75</v>
      </c>
      <c r="N34" s="6">
        <v>76</v>
      </c>
      <c r="O34" s="1" t="s">
        <v>26</v>
      </c>
      <c r="P34" s="1">
        <v>1</v>
      </c>
      <c r="Q34" s="1" t="s">
        <v>24</v>
      </c>
      <c r="R34" s="6">
        <v>1</v>
      </c>
      <c r="S34" s="1">
        <v>8</v>
      </c>
      <c r="T34" s="1">
        <v>10</v>
      </c>
      <c r="U34" s="12" t="s">
        <v>22</v>
      </c>
    </row>
    <row r="35" spans="1:21" s="1" customFormat="1">
      <c r="A35" s="5" t="s">
        <v>50</v>
      </c>
      <c r="B35" s="1">
        <v>1883</v>
      </c>
      <c r="C35" s="1" t="s">
        <v>20</v>
      </c>
      <c r="D35" s="8">
        <v>31</v>
      </c>
      <c r="E35" s="7">
        <v>30.13</v>
      </c>
      <c r="F35" s="9">
        <v>29.98</v>
      </c>
      <c r="G35" s="8">
        <v>58.6</v>
      </c>
      <c r="H35" s="8">
        <v>57.8</v>
      </c>
      <c r="I35" s="8">
        <v>51</v>
      </c>
      <c r="J35" s="9">
        <v>63</v>
      </c>
      <c r="K35" s="7">
        <v>0.33900000000000002</v>
      </c>
      <c r="L35" s="9">
        <v>0.35599999999999998</v>
      </c>
      <c r="M35" s="8">
        <v>69</v>
      </c>
      <c r="N35" s="9">
        <v>75</v>
      </c>
      <c r="O35" s="8" t="s">
        <v>39</v>
      </c>
      <c r="P35" s="8">
        <v>2</v>
      </c>
      <c r="Q35" s="8" t="s">
        <v>25</v>
      </c>
      <c r="R35" s="9">
        <v>3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29.968</v>
      </c>
      <c r="F36" s="16">
        <v>29.975999999999999</v>
      </c>
      <c r="G36" s="14">
        <v>52.2</v>
      </c>
      <c r="H36" s="15">
        <v>49.7</v>
      </c>
      <c r="I36" s="15">
        <v>45.1</v>
      </c>
      <c r="J36" s="16">
        <v>56.1</v>
      </c>
      <c r="K36" s="15">
        <v>0.29299999999999998</v>
      </c>
      <c r="L36" s="15">
        <v>0.28799999999999998</v>
      </c>
      <c r="M36" s="14">
        <v>74.099999999999994</v>
      </c>
      <c r="N36" s="16">
        <v>79.599999999999994</v>
      </c>
      <c r="O36" s="14" t="s">
        <v>22</v>
      </c>
      <c r="P36" s="15">
        <v>2</v>
      </c>
      <c r="Q36" s="15" t="s">
        <v>22</v>
      </c>
      <c r="R36" s="16">
        <v>2.6</v>
      </c>
      <c r="S36" s="14">
        <v>6</v>
      </c>
      <c r="T36" s="16">
        <v>7</v>
      </c>
      <c r="U36" s="17">
        <v>1.4159999999999999</v>
      </c>
    </row>
    <row r="37" spans="1:21">
      <c r="E37">
        <f>SUM(E5:E35)/31</f>
        <v>29.968709677419351</v>
      </c>
      <c r="F37">
        <f>SUM(F5:F35)/31</f>
        <v>29.977096774193555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C5" workbookViewId="0">
      <selection activeCell="F23" sqref="F23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29.88</v>
      </c>
      <c r="F5" s="6">
        <v>29.98</v>
      </c>
      <c r="G5" s="1">
        <v>47.6</v>
      </c>
      <c r="H5" s="1">
        <v>39.4</v>
      </c>
      <c r="I5" s="1">
        <v>37</v>
      </c>
      <c r="J5" s="6">
        <v>55.9</v>
      </c>
      <c r="K5" s="5">
        <v>0.27700000000000002</v>
      </c>
      <c r="L5" s="6">
        <v>0.21099999999999999</v>
      </c>
      <c r="M5" s="1">
        <v>85</v>
      </c>
      <c r="N5" s="6">
        <v>88</v>
      </c>
      <c r="O5" s="1" t="s">
        <v>23</v>
      </c>
      <c r="P5" s="1">
        <v>3</v>
      </c>
      <c r="Q5" s="1" t="s">
        <v>23</v>
      </c>
      <c r="R5" s="6">
        <v>3</v>
      </c>
      <c r="S5" s="1">
        <v>4</v>
      </c>
      <c r="T5" s="1">
        <v>4</v>
      </c>
      <c r="U5" s="12" t="s">
        <v>22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30.01</v>
      </c>
      <c r="F6" s="6">
        <v>30</v>
      </c>
      <c r="G6" s="1">
        <v>39.9</v>
      </c>
      <c r="H6" s="1">
        <v>37.9</v>
      </c>
      <c r="I6" s="1">
        <v>33.799999999999997</v>
      </c>
      <c r="J6" s="6">
        <v>44.6</v>
      </c>
      <c r="K6" s="5">
        <v>0.20599999999999999</v>
      </c>
      <c r="L6" s="6">
        <v>0.18099999999999999</v>
      </c>
      <c r="M6" s="1">
        <v>84</v>
      </c>
      <c r="N6" s="6">
        <v>79</v>
      </c>
      <c r="O6" s="1" t="s">
        <v>24</v>
      </c>
      <c r="P6" s="1">
        <v>2</v>
      </c>
      <c r="Q6" s="1" t="s">
        <v>24</v>
      </c>
      <c r="R6" s="6">
        <v>1</v>
      </c>
      <c r="S6" s="1">
        <v>9</v>
      </c>
      <c r="T6" s="1">
        <v>10</v>
      </c>
      <c r="U6" s="12" t="s">
        <v>22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29.87</v>
      </c>
      <c r="F7" s="6">
        <v>29.97</v>
      </c>
      <c r="G7" s="1">
        <v>41.9</v>
      </c>
      <c r="H7" s="1">
        <v>32.4</v>
      </c>
      <c r="I7" s="1">
        <v>31.9</v>
      </c>
      <c r="J7" s="6">
        <v>45.6</v>
      </c>
      <c r="K7" s="5">
        <v>0.20499999999999999</v>
      </c>
      <c r="L7" s="6">
        <v>0.16800000000000001</v>
      </c>
      <c r="M7" s="1">
        <v>78</v>
      </c>
      <c r="N7" s="6">
        <v>92</v>
      </c>
      <c r="O7" s="1" t="s">
        <v>28</v>
      </c>
      <c r="P7" s="1">
        <v>2</v>
      </c>
      <c r="Q7" s="1" t="s">
        <v>23</v>
      </c>
      <c r="R7" s="6">
        <v>2</v>
      </c>
      <c r="S7" s="1">
        <v>9</v>
      </c>
      <c r="T7" s="1">
        <v>0</v>
      </c>
      <c r="U7" s="12" t="s">
        <v>22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29.96</v>
      </c>
      <c r="F8" s="6">
        <v>30.01</v>
      </c>
      <c r="G8" s="1">
        <v>38.6</v>
      </c>
      <c r="H8" s="1">
        <v>33.9</v>
      </c>
      <c r="I8" s="1">
        <v>29.5</v>
      </c>
      <c r="J8" s="6">
        <v>46.3</v>
      </c>
      <c r="K8" s="5">
        <v>0.17399999999999999</v>
      </c>
      <c r="L8" s="6">
        <v>0.186</v>
      </c>
      <c r="M8" s="1">
        <v>75</v>
      </c>
      <c r="N8" s="6">
        <v>96</v>
      </c>
      <c r="O8" s="1" t="s">
        <v>23</v>
      </c>
      <c r="P8" s="1">
        <v>2</v>
      </c>
      <c r="Q8" s="1" t="s">
        <v>23</v>
      </c>
      <c r="R8" s="6">
        <v>3</v>
      </c>
      <c r="S8" s="1">
        <v>9</v>
      </c>
      <c r="T8" s="1">
        <v>8</v>
      </c>
      <c r="U8" s="12">
        <v>0.06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29.98</v>
      </c>
      <c r="F9" s="6">
        <v>30.04</v>
      </c>
      <c r="G9" s="1">
        <v>38.9</v>
      </c>
      <c r="H9" s="1">
        <v>37.4</v>
      </c>
      <c r="I9" s="1">
        <v>31.8</v>
      </c>
      <c r="J9" s="6">
        <v>41</v>
      </c>
      <c r="K9" s="5">
        <v>0.20100000000000001</v>
      </c>
      <c r="L9" s="6">
        <v>0.19900000000000001</v>
      </c>
      <c r="M9" s="1">
        <v>86</v>
      </c>
      <c r="N9" s="6">
        <v>90</v>
      </c>
      <c r="O9" s="1" t="s">
        <v>23</v>
      </c>
      <c r="P9" s="1">
        <v>4</v>
      </c>
      <c r="Q9" s="1" t="s">
        <v>23</v>
      </c>
      <c r="R9" s="6">
        <v>4</v>
      </c>
      <c r="S9" s="1">
        <v>7</v>
      </c>
      <c r="T9" s="1">
        <v>10</v>
      </c>
      <c r="U9" s="12">
        <v>0.06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30.03</v>
      </c>
      <c r="F10" s="6">
        <v>30.02</v>
      </c>
      <c r="G10" s="1">
        <v>48.4</v>
      </c>
      <c r="H10" s="1">
        <v>40.4</v>
      </c>
      <c r="I10" s="1">
        <v>35.799999999999997</v>
      </c>
      <c r="J10" s="6">
        <v>55.3</v>
      </c>
      <c r="K10" s="5">
        <v>0.25700000000000001</v>
      </c>
      <c r="L10" s="6">
        <v>0.22</v>
      </c>
      <c r="M10" s="1">
        <v>76</v>
      </c>
      <c r="N10" s="6">
        <v>88</v>
      </c>
      <c r="O10" s="1" t="s">
        <v>23</v>
      </c>
      <c r="P10" s="1">
        <v>3</v>
      </c>
      <c r="Q10" s="1" t="s">
        <v>23</v>
      </c>
      <c r="R10" s="6">
        <v>1</v>
      </c>
      <c r="S10" s="1">
        <v>6</v>
      </c>
      <c r="T10" s="1">
        <v>0</v>
      </c>
      <c r="U10" s="12" t="s">
        <v>22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29.79</v>
      </c>
      <c r="F11" s="6">
        <v>29.71</v>
      </c>
      <c r="G11" s="1">
        <v>50.9</v>
      </c>
      <c r="H11" s="1">
        <v>39.6</v>
      </c>
      <c r="I11" s="1">
        <v>33.799999999999997</v>
      </c>
      <c r="J11" s="6">
        <v>54.9</v>
      </c>
      <c r="K11" s="5">
        <v>0.21199999999999999</v>
      </c>
      <c r="L11" s="6">
        <v>0.22900000000000001</v>
      </c>
      <c r="M11" s="1">
        <v>57</v>
      </c>
      <c r="N11" s="6">
        <v>94</v>
      </c>
      <c r="O11" s="1" t="s">
        <v>42</v>
      </c>
      <c r="P11" s="1">
        <v>2</v>
      </c>
      <c r="Q11" s="1" t="s">
        <v>23</v>
      </c>
      <c r="R11" s="6">
        <v>2</v>
      </c>
      <c r="S11" s="1">
        <v>7</v>
      </c>
      <c r="T11" s="1">
        <v>10</v>
      </c>
      <c r="U11" s="12" t="s">
        <v>22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29.63</v>
      </c>
      <c r="F12" s="25">
        <v>29.61</v>
      </c>
      <c r="G12" s="1">
        <v>40.4</v>
      </c>
      <c r="H12" s="1">
        <v>37.4</v>
      </c>
      <c r="I12" s="1">
        <v>36.299999999999997</v>
      </c>
      <c r="J12" s="6">
        <v>43.6</v>
      </c>
      <c r="K12" s="5">
        <v>0.23</v>
      </c>
      <c r="L12" s="6">
        <v>0.214</v>
      </c>
      <c r="M12" s="1">
        <v>92</v>
      </c>
      <c r="N12" s="6">
        <v>95</v>
      </c>
      <c r="O12" s="1" t="s">
        <v>42</v>
      </c>
      <c r="P12" s="1">
        <v>2</v>
      </c>
      <c r="Q12" s="1" t="s">
        <v>23</v>
      </c>
      <c r="R12" s="6">
        <v>3</v>
      </c>
      <c r="S12" s="1">
        <v>10</v>
      </c>
      <c r="T12" s="1">
        <v>10</v>
      </c>
      <c r="U12" s="12">
        <v>9.5000000000000001E-2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29.62</v>
      </c>
      <c r="F13" s="6">
        <v>29.7</v>
      </c>
      <c r="G13" s="1">
        <v>40.4</v>
      </c>
      <c r="H13" s="1">
        <v>35.9</v>
      </c>
      <c r="I13" s="1">
        <v>33.799999999999997</v>
      </c>
      <c r="J13" s="6">
        <v>45.6</v>
      </c>
      <c r="K13" s="5">
        <v>0.20799999999999999</v>
      </c>
      <c r="L13" s="6">
        <v>0.182</v>
      </c>
      <c r="M13" s="1">
        <v>83</v>
      </c>
      <c r="N13" s="6">
        <v>87</v>
      </c>
      <c r="O13" s="1" t="s">
        <v>24</v>
      </c>
      <c r="P13" s="1">
        <v>2</v>
      </c>
      <c r="Q13" s="1" t="s">
        <v>24</v>
      </c>
      <c r="R13" s="6">
        <v>2</v>
      </c>
      <c r="S13" s="1">
        <v>6</v>
      </c>
      <c r="T13" s="1">
        <v>7</v>
      </c>
      <c r="U13" s="12">
        <v>0.05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29.65</v>
      </c>
      <c r="F14" s="6">
        <v>29.7</v>
      </c>
      <c r="G14" s="1">
        <v>35.4</v>
      </c>
      <c r="H14" s="1">
        <v>37.9</v>
      </c>
      <c r="I14" s="1">
        <v>32.799999999999997</v>
      </c>
      <c r="J14" s="6">
        <v>41</v>
      </c>
      <c r="K14" s="5">
        <v>0.19900000000000001</v>
      </c>
      <c r="L14" s="6">
        <v>0.20200000000000001</v>
      </c>
      <c r="M14" s="1">
        <v>96</v>
      </c>
      <c r="N14" s="6">
        <v>89</v>
      </c>
      <c r="O14" s="1" t="s">
        <v>28</v>
      </c>
      <c r="P14" s="1">
        <v>1</v>
      </c>
      <c r="Q14" s="1" t="s">
        <v>27</v>
      </c>
      <c r="R14" s="6">
        <v>1</v>
      </c>
      <c r="S14" s="1">
        <v>10</v>
      </c>
      <c r="T14" s="1">
        <v>7</v>
      </c>
      <c r="U14" s="12">
        <v>0.25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29.82</v>
      </c>
      <c r="F15" s="6">
        <v>29.89</v>
      </c>
      <c r="G15" s="1">
        <v>43.6</v>
      </c>
      <c r="H15" s="1">
        <v>36.4</v>
      </c>
      <c r="I15" s="1">
        <v>33.799999999999997</v>
      </c>
      <c r="J15" s="6">
        <v>47.1</v>
      </c>
      <c r="K15" s="5">
        <v>0.193</v>
      </c>
      <c r="L15" s="6">
        <v>0.19500000000000001</v>
      </c>
      <c r="M15" s="1">
        <v>67</v>
      </c>
      <c r="N15" s="6">
        <v>91</v>
      </c>
      <c r="O15" s="1" t="s">
        <v>26</v>
      </c>
      <c r="P15" s="1">
        <v>4</v>
      </c>
      <c r="Q15" s="1" t="s">
        <v>26</v>
      </c>
      <c r="R15" s="6">
        <v>1</v>
      </c>
      <c r="S15" s="1">
        <v>6</v>
      </c>
      <c r="T15" s="1">
        <v>4</v>
      </c>
      <c r="U15" s="12">
        <v>0.4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29.68</v>
      </c>
      <c r="F16" s="6">
        <v>29.73</v>
      </c>
      <c r="G16" s="1">
        <v>49.6</v>
      </c>
      <c r="H16" s="1">
        <v>39.6</v>
      </c>
      <c r="I16" s="1">
        <v>32.799999999999997</v>
      </c>
      <c r="J16" s="6">
        <v>58.2</v>
      </c>
      <c r="K16" s="5">
        <v>0.33800000000000002</v>
      </c>
      <c r="L16" s="6">
        <v>0.223</v>
      </c>
      <c r="M16" s="1">
        <v>95</v>
      </c>
      <c r="N16" s="6">
        <v>92</v>
      </c>
      <c r="O16" s="1" t="s">
        <v>25</v>
      </c>
      <c r="P16" s="1">
        <v>3</v>
      </c>
      <c r="Q16" s="1" t="s">
        <v>25</v>
      </c>
      <c r="R16" s="6">
        <v>3</v>
      </c>
      <c r="S16" s="1">
        <v>10</v>
      </c>
      <c r="T16" s="1">
        <v>7</v>
      </c>
      <c r="U16" s="12">
        <v>0.05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29.74</v>
      </c>
      <c r="F17" s="6">
        <v>29.86</v>
      </c>
      <c r="G17" s="1">
        <v>52.6</v>
      </c>
      <c r="H17" s="1">
        <v>50.9</v>
      </c>
      <c r="I17" s="1">
        <v>35.799999999999997</v>
      </c>
      <c r="J17" s="6">
        <v>56.4</v>
      </c>
      <c r="K17" s="5">
        <v>0.36399999999999999</v>
      </c>
      <c r="L17" s="6">
        <v>0.33300000000000002</v>
      </c>
      <c r="M17" s="1">
        <v>92</v>
      </c>
      <c r="N17" s="6">
        <v>90</v>
      </c>
      <c r="O17" s="1" t="s">
        <v>25</v>
      </c>
      <c r="P17" s="1">
        <v>3</v>
      </c>
      <c r="Q17" s="1" t="s">
        <v>25</v>
      </c>
      <c r="R17" s="6">
        <v>2</v>
      </c>
      <c r="S17" s="1">
        <v>10</v>
      </c>
      <c r="T17" s="1">
        <v>8</v>
      </c>
      <c r="U17" s="12" t="s">
        <v>22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29.87</v>
      </c>
      <c r="F18" s="6">
        <v>29.96</v>
      </c>
      <c r="G18" s="1">
        <v>55.3</v>
      </c>
      <c r="H18" s="1">
        <v>49.4</v>
      </c>
      <c r="I18" s="1">
        <v>47.4</v>
      </c>
      <c r="J18" s="6">
        <v>61.2</v>
      </c>
      <c r="K18" s="5">
        <v>0.312</v>
      </c>
      <c r="L18" s="6">
        <v>0.29499999999999998</v>
      </c>
      <c r="M18" s="1">
        <v>72</v>
      </c>
      <c r="N18" s="6">
        <v>85</v>
      </c>
      <c r="O18" s="1" t="s">
        <v>29</v>
      </c>
      <c r="P18" s="1">
        <v>2</v>
      </c>
      <c r="Q18" s="1" t="s">
        <v>25</v>
      </c>
      <c r="R18" s="6">
        <v>2</v>
      </c>
      <c r="S18" s="1">
        <v>8</v>
      </c>
      <c r="T18" s="1">
        <v>9</v>
      </c>
      <c r="U18" s="12">
        <v>0.2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30.06</v>
      </c>
      <c r="F19" s="6">
        <v>30.37</v>
      </c>
      <c r="G19" s="1">
        <v>55.9</v>
      </c>
      <c r="H19" s="1">
        <v>56.6</v>
      </c>
      <c r="I19" s="1">
        <v>44.4</v>
      </c>
      <c r="J19" s="6">
        <v>65.099999999999994</v>
      </c>
      <c r="K19" s="5">
        <v>0.34599999999999997</v>
      </c>
      <c r="L19" s="6">
        <v>0.38100000000000001</v>
      </c>
      <c r="M19" s="1">
        <v>78</v>
      </c>
      <c r="N19" s="6">
        <v>82</v>
      </c>
      <c r="O19" s="1" t="s">
        <v>26</v>
      </c>
      <c r="P19" s="1">
        <v>1</v>
      </c>
      <c r="Q19" s="1" t="s">
        <v>25</v>
      </c>
      <c r="R19" s="6">
        <v>1</v>
      </c>
      <c r="S19" s="1">
        <v>5</v>
      </c>
      <c r="T19" s="1">
        <v>8</v>
      </c>
      <c r="U19" s="12" t="s">
        <v>22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30.37</v>
      </c>
      <c r="F20" s="6">
        <v>30.47</v>
      </c>
      <c r="G20" s="1">
        <v>63.8</v>
      </c>
      <c r="H20" s="1">
        <v>48.9</v>
      </c>
      <c r="I20" s="1">
        <v>48.9</v>
      </c>
      <c r="J20" s="6">
        <v>68.3</v>
      </c>
      <c r="K20" s="5">
        <v>0.39100000000000001</v>
      </c>
      <c r="L20" s="6">
        <v>0.29599999999999999</v>
      </c>
      <c r="M20" s="1">
        <v>66</v>
      </c>
      <c r="N20" s="6">
        <v>86</v>
      </c>
      <c r="O20" s="1" t="s">
        <v>21</v>
      </c>
      <c r="P20" s="1">
        <v>1</v>
      </c>
      <c r="Q20" s="1" t="s">
        <v>21</v>
      </c>
      <c r="R20" s="6">
        <v>1</v>
      </c>
      <c r="S20" s="1">
        <v>4</v>
      </c>
      <c r="T20" s="1">
        <v>0</v>
      </c>
      <c r="U20" s="12" t="s">
        <v>22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30.42</v>
      </c>
      <c r="F21" s="6">
        <v>30.37</v>
      </c>
      <c r="G21" s="1">
        <v>57.5</v>
      </c>
      <c r="H21" s="1">
        <v>49.4</v>
      </c>
      <c r="I21" s="1">
        <v>38.799999999999997</v>
      </c>
      <c r="J21" s="6">
        <v>65.900000000000006</v>
      </c>
      <c r="K21" s="5">
        <v>0.27900000000000003</v>
      </c>
      <c r="L21" s="6">
        <v>0.26900000000000002</v>
      </c>
      <c r="M21" s="1">
        <v>59</v>
      </c>
      <c r="N21" s="6">
        <v>76</v>
      </c>
      <c r="O21" s="1" t="s">
        <v>25</v>
      </c>
      <c r="P21" s="1">
        <v>1</v>
      </c>
      <c r="Q21" s="1" t="s">
        <v>27</v>
      </c>
      <c r="R21" s="6">
        <v>2</v>
      </c>
      <c r="S21" s="1">
        <v>8</v>
      </c>
      <c r="T21" s="1">
        <v>2</v>
      </c>
      <c r="U21" s="12" t="s">
        <v>22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30.31</v>
      </c>
      <c r="F22" s="6">
        <v>30.1</v>
      </c>
      <c r="G22" s="1">
        <v>49.9</v>
      </c>
      <c r="H22" s="1">
        <v>48.6</v>
      </c>
      <c r="I22" s="1">
        <v>40.799999999999997</v>
      </c>
      <c r="J22" s="6">
        <v>52.2</v>
      </c>
      <c r="K22" s="5">
        <v>0.26400000000000001</v>
      </c>
      <c r="L22" s="6">
        <v>0.25600000000000001</v>
      </c>
      <c r="M22" s="1">
        <v>74</v>
      </c>
      <c r="N22" s="6">
        <v>74</v>
      </c>
      <c r="O22" s="1" t="s">
        <v>27</v>
      </c>
      <c r="P22" s="1">
        <v>2</v>
      </c>
      <c r="Q22" s="1" t="s">
        <v>27</v>
      </c>
      <c r="R22" s="6">
        <v>3</v>
      </c>
      <c r="S22" s="1">
        <v>6</v>
      </c>
      <c r="T22" s="1">
        <v>7</v>
      </c>
      <c r="U22" s="12">
        <v>7.0000000000000007E-2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30.09</v>
      </c>
      <c r="F23" s="6">
        <v>30.09</v>
      </c>
      <c r="G23" s="1">
        <v>46.1</v>
      </c>
      <c r="H23" s="1">
        <v>44.6</v>
      </c>
      <c r="I23" s="1">
        <v>43.6</v>
      </c>
      <c r="J23" s="6">
        <v>54.6</v>
      </c>
      <c r="K23" s="5">
        <v>0.28299999999999997</v>
      </c>
      <c r="L23" s="6">
        <v>0.25600000000000001</v>
      </c>
      <c r="M23" s="1">
        <v>91</v>
      </c>
      <c r="N23" s="6">
        <v>87</v>
      </c>
      <c r="O23" s="1" t="s">
        <v>26</v>
      </c>
      <c r="P23" s="1">
        <v>1</v>
      </c>
      <c r="Q23" s="1" t="s">
        <v>26</v>
      </c>
      <c r="R23" s="6">
        <v>2</v>
      </c>
      <c r="S23" s="1">
        <v>8</v>
      </c>
      <c r="T23" s="1">
        <v>8</v>
      </c>
      <c r="U23" s="12">
        <v>0.03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30.08</v>
      </c>
      <c r="F24" s="6">
        <v>30.16</v>
      </c>
      <c r="G24" s="1">
        <v>47.2</v>
      </c>
      <c r="H24" s="1">
        <v>47.4</v>
      </c>
      <c r="I24" s="1">
        <v>41.9</v>
      </c>
      <c r="J24" s="6">
        <v>50.5</v>
      </c>
      <c r="K24" s="5">
        <v>0.30299999999999999</v>
      </c>
      <c r="L24" s="6">
        <v>0.28399999999999997</v>
      </c>
      <c r="M24" s="1">
        <v>94</v>
      </c>
      <c r="N24" s="6">
        <v>87</v>
      </c>
      <c r="O24" s="1" t="s">
        <v>26</v>
      </c>
      <c r="P24" s="1">
        <v>1</v>
      </c>
      <c r="Q24" s="1" t="s">
        <v>21</v>
      </c>
      <c r="R24" s="6">
        <v>1</v>
      </c>
      <c r="S24" s="1">
        <v>10</v>
      </c>
      <c r="T24" s="1">
        <v>8</v>
      </c>
      <c r="U24" s="12" t="s">
        <v>22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30.18</v>
      </c>
      <c r="F25" s="6">
        <v>30.19</v>
      </c>
      <c r="G25" s="1">
        <v>51.4</v>
      </c>
      <c r="H25" s="1">
        <v>52.6</v>
      </c>
      <c r="I25" s="1">
        <v>35.799999999999997</v>
      </c>
      <c r="J25" s="6">
        <v>60.2</v>
      </c>
      <c r="K25" s="5">
        <v>0.309</v>
      </c>
      <c r="L25" s="6">
        <v>0.35099999999999998</v>
      </c>
      <c r="M25" s="1">
        <v>82</v>
      </c>
      <c r="N25" s="6">
        <v>88</v>
      </c>
      <c r="O25" s="1" t="s">
        <v>21</v>
      </c>
      <c r="P25" s="1">
        <v>1</v>
      </c>
      <c r="Q25" s="1" t="s">
        <v>26</v>
      </c>
      <c r="R25" s="6">
        <v>1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30.11</v>
      </c>
      <c r="F26" s="6">
        <v>30.16</v>
      </c>
      <c r="G26" s="1">
        <v>62.3</v>
      </c>
      <c r="H26" s="1">
        <v>49.6</v>
      </c>
      <c r="I26" s="1">
        <v>40.299999999999997</v>
      </c>
      <c r="J26" s="6">
        <v>66.8</v>
      </c>
      <c r="K26" s="5">
        <v>0.35199999999999998</v>
      </c>
      <c r="L26" s="6">
        <v>0.32900000000000001</v>
      </c>
      <c r="M26" s="1">
        <v>63</v>
      </c>
      <c r="N26" s="6">
        <v>93</v>
      </c>
      <c r="O26" s="1" t="s">
        <v>26</v>
      </c>
      <c r="P26" s="1">
        <v>2</v>
      </c>
      <c r="Q26" s="1" t="s">
        <v>27</v>
      </c>
      <c r="R26" s="6">
        <v>1</v>
      </c>
      <c r="S26" s="1">
        <v>3</v>
      </c>
      <c r="T26" s="1">
        <v>1</v>
      </c>
      <c r="U26" s="12" t="s">
        <v>22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30.13</v>
      </c>
      <c r="F27" s="6">
        <v>30.12</v>
      </c>
      <c r="G27" s="1">
        <v>58.8</v>
      </c>
      <c r="H27" s="1">
        <v>51.9</v>
      </c>
      <c r="I27" s="1">
        <v>46.1</v>
      </c>
      <c r="J27" s="6">
        <v>65.8</v>
      </c>
      <c r="K27" s="5">
        <v>0.39900000000000002</v>
      </c>
      <c r="L27" s="6">
        <v>0.31900000000000001</v>
      </c>
      <c r="M27" s="1">
        <v>81</v>
      </c>
      <c r="N27" s="6">
        <v>83</v>
      </c>
      <c r="O27" s="1" t="s">
        <v>36</v>
      </c>
      <c r="P27" s="1">
        <v>2</v>
      </c>
      <c r="Q27" s="1" t="s">
        <v>36</v>
      </c>
      <c r="R27" s="6">
        <v>1</v>
      </c>
      <c r="S27" s="1">
        <v>7</v>
      </c>
      <c r="T27" s="1">
        <v>2</v>
      </c>
      <c r="U27" s="12" t="s">
        <v>22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30.05</v>
      </c>
      <c r="F28" s="6">
        <v>30.03</v>
      </c>
      <c r="G28" s="1">
        <v>64</v>
      </c>
      <c r="H28" s="1">
        <v>57.3</v>
      </c>
      <c r="I28" s="1">
        <v>46.1</v>
      </c>
      <c r="J28" s="6">
        <v>70.099999999999994</v>
      </c>
      <c r="K28" s="5">
        <v>0.374</v>
      </c>
      <c r="L28" s="6">
        <v>0.30399999999999999</v>
      </c>
      <c r="M28" s="1">
        <v>63</v>
      </c>
      <c r="N28" s="6">
        <v>65</v>
      </c>
      <c r="O28" s="1" t="s">
        <v>26</v>
      </c>
      <c r="P28" s="1">
        <v>1</v>
      </c>
      <c r="Q28" s="1" t="s">
        <v>26</v>
      </c>
      <c r="R28" s="6">
        <v>1</v>
      </c>
      <c r="S28" s="1">
        <v>0</v>
      </c>
      <c r="T28" s="1">
        <v>9</v>
      </c>
      <c r="U28" s="12" t="s">
        <v>22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29.92</v>
      </c>
      <c r="F29" s="6">
        <v>29.73</v>
      </c>
      <c r="G29" s="1">
        <v>59.5</v>
      </c>
      <c r="H29" s="1">
        <v>56.9</v>
      </c>
      <c r="I29" s="1">
        <v>42.9</v>
      </c>
      <c r="J29" s="6">
        <v>68.099999999999994</v>
      </c>
      <c r="K29" s="5">
        <v>0.35699999999999998</v>
      </c>
      <c r="L29" s="6">
        <v>0.38200000000000001</v>
      </c>
      <c r="M29" s="1">
        <v>71</v>
      </c>
      <c r="N29" s="6">
        <v>83</v>
      </c>
      <c r="O29" s="1" t="s">
        <v>25</v>
      </c>
      <c r="P29" s="1">
        <v>2</v>
      </c>
      <c r="Q29" s="1" t="s">
        <v>27</v>
      </c>
      <c r="R29" s="6">
        <v>2</v>
      </c>
      <c r="S29" s="1">
        <v>7</v>
      </c>
      <c r="T29" s="1">
        <v>4</v>
      </c>
      <c r="U29" s="12">
        <v>0.28499999999999998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29.64</v>
      </c>
      <c r="F30" s="6">
        <v>29.82</v>
      </c>
      <c r="G30" s="1">
        <v>53.9</v>
      </c>
      <c r="H30" s="1">
        <v>44.9</v>
      </c>
      <c r="I30" s="1">
        <v>44.3</v>
      </c>
      <c r="J30" s="6">
        <v>59.4</v>
      </c>
      <c r="K30" s="5">
        <v>0.373</v>
      </c>
      <c r="L30" s="6">
        <v>0.24199999999999999</v>
      </c>
      <c r="M30" s="1">
        <v>90</v>
      </c>
      <c r="N30" s="6">
        <v>82</v>
      </c>
      <c r="O30" s="1" t="s">
        <v>27</v>
      </c>
      <c r="P30" s="1">
        <v>2</v>
      </c>
      <c r="Q30" s="1" t="s">
        <v>26</v>
      </c>
      <c r="R30" s="6">
        <v>2</v>
      </c>
      <c r="S30" s="1">
        <v>10</v>
      </c>
      <c r="T30" s="1">
        <v>3</v>
      </c>
      <c r="U30" s="12" t="s">
        <v>22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30.02</v>
      </c>
      <c r="F31" s="6">
        <v>30.06</v>
      </c>
      <c r="G31" s="1">
        <v>52.5</v>
      </c>
      <c r="H31" s="1">
        <v>51.1</v>
      </c>
      <c r="I31" s="1">
        <v>40.4</v>
      </c>
      <c r="J31" s="6">
        <v>60.2</v>
      </c>
      <c r="K31" s="5">
        <v>0.23499999999999999</v>
      </c>
      <c r="L31" s="6">
        <v>0.25600000000000001</v>
      </c>
      <c r="M31" s="1">
        <v>60</v>
      </c>
      <c r="N31" s="6">
        <v>69</v>
      </c>
      <c r="O31" s="1" t="s">
        <v>27</v>
      </c>
      <c r="P31" s="1">
        <v>2</v>
      </c>
      <c r="Q31" s="1" t="s">
        <v>25</v>
      </c>
      <c r="R31" s="6">
        <v>2</v>
      </c>
      <c r="S31" s="1">
        <v>3</v>
      </c>
      <c r="T31" s="1">
        <v>9</v>
      </c>
      <c r="U31" s="12" t="s">
        <v>22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29.97</v>
      </c>
      <c r="F32" s="6">
        <v>29.97</v>
      </c>
      <c r="G32" s="1">
        <v>55.5</v>
      </c>
      <c r="H32" s="1">
        <v>53.4</v>
      </c>
      <c r="I32" s="1">
        <v>43.5</v>
      </c>
      <c r="J32" s="6">
        <v>59.2</v>
      </c>
      <c r="K32" s="5">
        <v>0.312</v>
      </c>
      <c r="L32" s="6">
        <v>0.35299999999999998</v>
      </c>
      <c r="M32" s="1">
        <v>72</v>
      </c>
      <c r="N32" s="6">
        <v>86</v>
      </c>
      <c r="O32" s="1" t="s">
        <v>25</v>
      </c>
      <c r="P32" s="1">
        <v>3</v>
      </c>
      <c r="Q32" s="1" t="s">
        <v>25</v>
      </c>
      <c r="R32" s="6">
        <v>2</v>
      </c>
      <c r="S32" s="1">
        <v>7</v>
      </c>
      <c r="T32" s="1">
        <v>7</v>
      </c>
      <c r="U32" s="12">
        <v>0.24</v>
      </c>
    </row>
    <row r="33" spans="1:21" s="1" customFormat="1">
      <c r="A33" s="5" t="s">
        <v>51</v>
      </c>
      <c r="B33" s="1">
        <v>1883</v>
      </c>
      <c r="C33" s="1" t="s">
        <v>20</v>
      </c>
      <c r="D33" s="1">
        <v>29</v>
      </c>
      <c r="E33" s="5">
        <v>29.94</v>
      </c>
      <c r="F33" s="6">
        <v>30.09</v>
      </c>
      <c r="G33" s="1">
        <v>50.6</v>
      </c>
      <c r="H33" s="1">
        <v>47.1</v>
      </c>
      <c r="I33" s="1">
        <v>45.4</v>
      </c>
      <c r="J33" s="6">
        <v>60.9</v>
      </c>
      <c r="K33" s="5">
        <v>0.35099999999999998</v>
      </c>
      <c r="L33" s="6">
        <v>0.27200000000000002</v>
      </c>
      <c r="M33" s="1">
        <v>95</v>
      </c>
      <c r="N33" s="6">
        <v>84</v>
      </c>
      <c r="O33" s="1" t="s">
        <v>26</v>
      </c>
      <c r="P33" s="1">
        <v>2</v>
      </c>
      <c r="Q33" s="1" t="s">
        <v>26</v>
      </c>
      <c r="R33" s="6">
        <v>2</v>
      </c>
      <c r="S33" s="1">
        <v>10</v>
      </c>
      <c r="T33" s="1">
        <v>3</v>
      </c>
      <c r="U33" s="12" t="s">
        <v>22</v>
      </c>
    </row>
    <row r="34" spans="1:21" s="1" customFormat="1">
      <c r="A34" s="5" t="s">
        <v>51</v>
      </c>
      <c r="B34" s="1">
        <v>1883</v>
      </c>
      <c r="C34" s="1" t="s">
        <v>20</v>
      </c>
      <c r="D34" s="1">
        <v>30</v>
      </c>
      <c r="E34" s="5">
        <v>30.18</v>
      </c>
      <c r="F34" s="6">
        <v>30.27</v>
      </c>
      <c r="G34" s="1">
        <v>51.2</v>
      </c>
      <c r="H34" s="1">
        <v>44.9</v>
      </c>
      <c r="I34" s="1">
        <v>40.9</v>
      </c>
      <c r="J34" s="6">
        <v>61.2</v>
      </c>
      <c r="K34" s="5">
        <v>0.28299999999999997</v>
      </c>
      <c r="L34" s="6">
        <v>0.26800000000000002</v>
      </c>
      <c r="M34" s="1">
        <v>75</v>
      </c>
      <c r="N34" s="6">
        <v>90</v>
      </c>
      <c r="O34" s="1" t="s">
        <v>26</v>
      </c>
      <c r="P34" s="1">
        <v>2</v>
      </c>
      <c r="Q34" s="1" t="s">
        <v>26</v>
      </c>
      <c r="R34" s="6">
        <v>1</v>
      </c>
      <c r="S34" s="1">
        <v>8</v>
      </c>
      <c r="T34" s="1">
        <v>4</v>
      </c>
      <c r="U34" s="12" t="s">
        <v>22</v>
      </c>
    </row>
    <row r="35" spans="1:21" s="1" customFormat="1">
      <c r="A35" s="5" t="s">
        <v>51</v>
      </c>
      <c r="B35" s="1">
        <v>1883</v>
      </c>
      <c r="C35" s="1" t="s">
        <v>20</v>
      </c>
      <c r="D35" s="8">
        <v>31</v>
      </c>
      <c r="E35" s="7">
        <v>30.2</v>
      </c>
      <c r="F35" s="9">
        <v>30.06</v>
      </c>
      <c r="G35" s="8">
        <v>56.9</v>
      </c>
      <c r="H35" s="8">
        <v>50.4</v>
      </c>
      <c r="I35" s="8">
        <v>35.9</v>
      </c>
      <c r="J35" s="9">
        <v>63.7</v>
      </c>
      <c r="K35" s="7">
        <v>0.31900000000000001</v>
      </c>
      <c r="L35" s="9">
        <v>0.315</v>
      </c>
      <c r="M35" s="8">
        <v>69</v>
      </c>
      <c r="N35" s="9">
        <v>86</v>
      </c>
      <c r="O35" s="8" t="s">
        <v>25</v>
      </c>
      <c r="P35" s="8">
        <v>3</v>
      </c>
      <c r="Q35" s="8" t="s">
        <v>29</v>
      </c>
      <c r="R35" s="9">
        <v>2</v>
      </c>
      <c r="S35" s="8">
        <v>6</v>
      </c>
      <c r="T35" s="8">
        <v>3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29.974</v>
      </c>
      <c r="F36" s="16">
        <v>30.006</v>
      </c>
      <c r="G36" s="14">
        <v>50.3</v>
      </c>
      <c r="H36" s="15">
        <v>45.3</v>
      </c>
      <c r="I36" s="15">
        <v>38.9</v>
      </c>
      <c r="J36" s="16">
        <v>56.4</v>
      </c>
      <c r="K36" s="15">
        <v>0.28699999999999998</v>
      </c>
      <c r="L36" s="15">
        <v>0.26400000000000001</v>
      </c>
      <c r="M36" s="14">
        <v>78.099999999999994</v>
      </c>
      <c r="N36" s="16">
        <v>85.7</v>
      </c>
      <c r="O36" s="14" t="s">
        <v>22</v>
      </c>
      <c r="P36" s="15">
        <v>2.1</v>
      </c>
      <c r="Q36" s="15" t="s">
        <v>22</v>
      </c>
      <c r="R36" s="16">
        <v>1.8</v>
      </c>
      <c r="S36" s="14">
        <v>7.2</v>
      </c>
      <c r="T36" s="16">
        <v>5.8</v>
      </c>
      <c r="U36" s="17">
        <v>1.79</v>
      </c>
    </row>
    <row r="37" spans="1:21">
      <c r="F37">
        <f>SUM(F5:F35)/31</f>
        <v>30.007741935483871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D22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29.81</v>
      </c>
      <c r="F5" s="6">
        <v>29.89</v>
      </c>
      <c r="G5" s="1">
        <v>53.1</v>
      </c>
      <c r="H5" s="1">
        <v>42.7</v>
      </c>
      <c r="I5" s="1">
        <v>39.200000000000003</v>
      </c>
      <c r="J5" s="6">
        <v>57.5</v>
      </c>
      <c r="K5" s="5">
        <v>0.39300000000000002</v>
      </c>
      <c r="L5" s="6">
        <v>0.22800000000000001</v>
      </c>
      <c r="M5" s="1">
        <v>97</v>
      </c>
      <c r="N5" s="6">
        <v>83</v>
      </c>
      <c r="O5" s="1" t="s">
        <v>24</v>
      </c>
      <c r="P5" s="1">
        <v>3</v>
      </c>
      <c r="Q5" s="1" t="s">
        <v>24</v>
      </c>
      <c r="R5" s="6">
        <v>4</v>
      </c>
      <c r="S5" s="1">
        <v>8</v>
      </c>
      <c r="T5" s="1">
        <v>10</v>
      </c>
      <c r="U5" s="12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29.89</v>
      </c>
      <c r="F6" s="6">
        <v>29.9</v>
      </c>
      <c r="G6" s="1">
        <v>45</v>
      </c>
      <c r="H6" s="1">
        <v>41.1</v>
      </c>
      <c r="I6" s="1">
        <v>38.4</v>
      </c>
      <c r="J6" s="6">
        <v>50.2</v>
      </c>
      <c r="K6" s="5">
        <v>0.20300000000000001</v>
      </c>
      <c r="L6" s="6">
        <v>0.20899999999999999</v>
      </c>
      <c r="M6" s="1">
        <v>68</v>
      </c>
      <c r="N6" s="6">
        <v>81</v>
      </c>
      <c r="O6" s="1" t="s">
        <v>24</v>
      </c>
      <c r="P6" s="1">
        <v>4</v>
      </c>
      <c r="Q6" s="1" t="s">
        <v>35</v>
      </c>
      <c r="R6" s="6">
        <v>2</v>
      </c>
      <c r="S6" s="1">
        <v>10</v>
      </c>
      <c r="T6" s="1">
        <v>10</v>
      </c>
      <c r="U6" s="12">
        <v>0.122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29.82</v>
      </c>
      <c r="F7" s="6">
        <v>29.87</v>
      </c>
      <c r="G7" s="1">
        <v>43.7</v>
      </c>
      <c r="H7" s="1">
        <v>32</v>
      </c>
      <c r="I7" s="1">
        <v>32</v>
      </c>
      <c r="J7" s="6">
        <v>47.7</v>
      </c>
      <c r="K7" s="5">
        <v>0.23400000000000001</v>
      </c>
      <c r="L7" s="6">
        <v>0.17399999999999999</v>
      </c>
      <c r="M7" s="1">
        <v>82</v>
      </c>
      <c r="N7" s="6">
        <v>96</v>
      </c>
      <c r="O7" s="1" t="s">
        <v>27</v>
      </c>
      <c r="P7" s="1">
        <v>1</v>
      </c>
      <c r="Q7" s="1" t="s">
        <v>24</v>
      </c>
      <c r="R7" s="6">
        <v>1</v>
      </c>
      <c r="S7" s="1">
        <v>10</v>
      </c>
      <c r="T7" s="1">
        <v>3</v>
      </c>
      <c r="U7" s="12">
        <v>3.6999999999999998E-2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29.86</v>
      </c>
      <c r="F8" s="6">
        <v>29.89</v>
      </c>
      <c r="G8" s="1">
        <v>44.3</v>
      </c>
      <c r="H8" s="1">
        <v>33.200000000000003</v>
      </c>
      <c r="I8" s="1">
        <v>30.9</v>
      </c>
      <c r="J8" s="6">
        <v>48.7</v>
      </c>
      <c r="K8" s="5">
        <v>0.20300000000000001</v>
      </c>
      <c r="L8" s="6">
        <v>0.17899999999999999</v>
      </c>
      <c r="M8" s="1">
        <v>70</v>
      </c>
      <c r="N8" s="6">
        <v>95</v>
      </c>
      <c r="O8" s="1" t="s">
        <v>24</v>
      </c>
      <c r="P8" s="1">
        <v>2</v>
      </c>
      <c r="Q8" s="1" t="s">
        <v>24</v>
      </c>
      <c r="R8" s="6">
        <v>0.5</v>
      </c>
      <c r="S8" s="1">
        <v>7</v>
      </c>
      <c r="T8" s="1">
        <v>2</v>
      </c>
      <c r="U8" s="12">
        <v>0.27600000000000002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29.86</v>
      </c>
      <c r="F9" s="6">
        <v>29.9</v>
      </c>
      <c r="G9" s="1">
        <v>45.5</v>
      </c>
      <c r="H9" s="1">
        <v>42.8</v>
      </c>
      <c r="I9" s="1">
        <v>31.2</v>
      </c>
      <c r="J9" s="6">
        <v>51.6</v>
      </c>
      <c r="K9" s="5">
        <v>0.26400000000000001</v>
      </c>
      <c r="L9" s="6">
        <v>0.251</v>
      </c>
      <c r="M9" s="1">
        <v>87</v>
      </c>
      <c r="N9" s="6">
        <v>92</v>
      </c>
      <c r="O9" s="1" t="s">
        <v>24</v>
      </c>
      <c r="P9" s="1">
        <v>1</v>
      </c>
      <c r="Q9" s="1" t="s">
        <v>24</v>
      </c>
      <c r="R9" s="6">
        <v>3</v>
      </c>
      <c r="S9" s="1">
        <v>9</v>
      </c>
      <c r="T9" s="1">
        <v>10</v>
      </c>
      <c r="U9" s="12">
        <v>0.01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29.94</v>
      </c>
      <c r="F10" s="6">
        <v>29.92</v>
      </c>
      <c r="G10" s="1">
        <v>50.9</v>
      </c>
      <c r="H10" s="1">
        <v>42.9</v>
      </c>
      <c r="I10" s="1">
        <v>42.1</v>
      </c>
      <c r="J10" s="6">
        <v>55.4</v>
      </c>
      <c r="K10" s="5">
        <v>0.30399999999999999</v>
      </c>
      <c r="L10" s="6">
        <v>0.26300000000000001</v>
      </c>
      <c r="M10" s="1">
        <v>82</v>
      </c>
      <c r="N10" s="6">
        <v>95</v>
      </c>
      <c r="O10" s="1" t="s">
        <v>24</v>
      </c>
      <c r="P10" s="1">
        <v>5</v>
      </c>
      <c r="Q10" s="1" t="s">
        <v>24</v>
      </c>
      <c r="R10" s="6">
        <v>2</v>
      </c>
      <c r="S10" s="1">
        <v>10</v>
      </c>
      <c r="T10" s="1">
        <v>6</v>
      </c>
      <c r="U10" s="12" t="s">
        <v>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29.74</v>
      </c>
      <c r="F11" s="6">
        <v>29.62</v>
      </c>
      <c r="G11" s="1">
        <v>53</v>
      </c>
      <c r="H11" s="1">
        <v>46.9</v>
      </c>
      <c r="I11" s="1">
        <v>41.9</v>
      </c>
      <c r="J11" s="6">
        <v>58.6</v>
      </c>
      <c r="K11" s="5">
        <v>0.32100000000000001</v>
      </c>
      <c r="L11" s="6">
        <v>0.317</v>
      </c>
      <c r="M11" s="1">
        <v>79</v>
      </c>
      <c r="N11" s="6">
        <v>99</v>
      </c>
      <c r="O11" s="1" t="s">
        <v>42</v>
      </c>
      <c r="P11" s="1">
        <v>3</v>
      </c>
      <c r="Q11" s="1" t="s">
        <v>29</v>
      </c>
      <c r="R11" s="6">
        <v>1</v>
      </c>
      <c r="S11" s="1">
        <v>7</v>
      </c>
      <c r="T11" s="1">
        <v>5</v>
      </c>
      <c r="U11" s="12">
        <v>5.8000000000000003E-2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29.55</v>
      </c>
      <c r="F12" s="6">
        <v>29.53</v>
      </c>
      <c r="G12" s="1">
        <v>47.5</v>
      </c>
      <c r="H12" s="1">
        <v>43.6</v>
      </c>
      <c r="I12" s="1">
        <v>41.6</v>
      </c>
      <c r="J12" s="6">
        <v>49.5</v>
      </c>
      <c r="K12" s="5">
        <v>0.28299999999999997</v>
      </c>
      <c r="L12" s="6">
        <v>0.28399999999999997</v>
      </c>
      <c r="M12" s="1">
        <v>87</v>
      </c>
      <c r="N12" s="6">
        <v>100</v>
      </c>
      <c r="O12" s="1" t="s">
        <v>26</v>
      </c>
      <c r="P12" s="1">
        <v>1</v>
      </c>
      <c r="Q12" s="1" t="s">
        <v>23</v>
      </c>
      <c r="R12" s="6">
        <v>0.5</v>
      </c>
      <c r="S12" s="1">
        <v>10</v>
      </c>
      <c r="T12" s="1">
        <v>10</v>
      </c>
      <c r="U12" s="12">
        <v>0.216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29.54</v>
      </c>
      <c r="F13" s="6">
        <v>29.58</v>
      </c>
      <c r="G13" s="1">
        <v>44.9</v>
      </c>
      <c r="H13" s="1">
        <v>40.6</v>
      </c>
      <c r="I13" s="1">
        <v>39.1</v>
      </c>
      <c r="J13" s="6">
        <v>45.6</v>
      </c>
      <c r="K13" s="5">
        <v>0.26700000000000002</v>
      </c>
      <c r="L13" s="6">
        <v>0.246</v>
      </c>
      <c r="M13" s="1">
        <v>90</v>
      </c>
      <c r="N13" s="6">
        <v>97</v>
      </c>
      <c r="O13" s="1" t="s">
        <v>24</v>
      </c>
      <c r="P13" s="1">
        <v>1</v>
      </c>
      <c r="Q13" s="1" t="s">
        <v>24</v>
      </c>
      <c r="R13" s="6">
        <v>1</v>
      </c>
      <c r="S13" s="1">
        <v>10</v>
      </c>
      <c r="T13" s="1">
        <v>10</v>
      </c>
      <c r="U13" s="12">
        <v>0.105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29.58</v>
      </c>
      <c r="F14" s="6">
        <v>29.68</v>
      </c>
      <c r="G14" s="1">
        <v>40.1</v>
      </c>
      <c r="H14" s="1">
        <v>44.9</v>
      </c>
      <c r="I14" s="1">
        <v>38.1</v>
      </c>
      <c r="J14" s="6">
        <v>47.4</v>
      </c>
      <c r="K14" s="5">
        <v>0.23100000000000001</v>
      </c>
      <c r="L14" s="6">
        <v>0.28799999999999998</v>
      </c>
      <c r="M14" s="1">
        <v>93</v>
      </c>
      <c r="N14" s="6">
        <v>97</v>
      </c>
      <c r="O14" s="1" t="s">
        <v>27</v>
      </c>
      <c r="P14" s="1">
        <v>1</v>
      </c>
      <c r="Q14" s="1" t="s">
        <v>27</v>
      </c>
      <c r="R14" s="6">
        <v>1</v>
      </c>
      <c r="S14" s="1">
        <v>10</v>
      </c>
      <c r="T14" s="1">
        <v>10</v>
      </c>
      <c r="U14" s="12">
        <v>0.12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29.82</v>
      </c>
      <c r="F15" s="6">
        <v>29.9</v>
      </c>
      <c r="G15" s="1">
        <v>46</v>
      </c>
      <c r="H15" s="1">
        <v>38.799999999999997</v>
      </c>
      <c r="I15" s="1">
        <v>35.1</v>
      </c>
      <c r="J15" s="6">
        <v>52.7</v>
      </c>
      <c r="K15" s="5">
        <v>0.222</v>
      </c>
      <c r="L15" s="6">
        <v>0.214</v>
      </c>
      <c r="M15" s="1">
        <v>72</v>
      </c>
      <c r="N15" s="6">
        <v>91</v>
      </c>
      <c r="O15" s="1" t="s">
        <v>26</v>
      </c>
      <c r="P15" s="1">
        <v>4</v>
      </c>
      <c r="Q15" s="1" t="s">
        <v>25</v>
      </c>
      <c r="R15" s="6">
        <v>1</v>
      </c>
      <c r="S15" s="1">
        <v>7</v>
      </c>
      <c r="T15" s="1">
        <v>0</v>
      </c>
      <c r="U15" s="12">
        <v>0.17699999999999999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29.75</v>
      </c>
      <c r="F16" s="6">
        <v>29.85</v>
      </c>
      <c r="G16" s="1">
        <v>49.9</v>
      </c>
      <c r="H16" s="1">
        <v>54.8</v>
      </c>
      <c r="I16" s="1">
        <v>36.4</v>
      </c>
      <c r="J16" s="6">
        <v>61.7</v>
      </c>
      <c r="K16" s="5">
        <v>0.35499999999999998</v>
      </c>
      <c r="L16" s="6">
        <v>0.37</v>
      </c>
      <c r="M16" s="1">
        <v>99</v>
      </c>
      <c r="N16" s="6">
        <v>86</v>
      </c>
      <c r="O16" s="1" t="s">
        <v>25</v>
      </c>
      <c r="P16" s="1">
        <v>1</v>
      </c>
      <c r="Q16" s="1" t="s">
        <v>25</v>
      </c>
      <c r="R16" s="6">
        <v>5</v>
      </c>
      <c r="S16" s="1">
        <v>10</v>
      </c>
      <c r="T16" s="1">
        <v>10</v>
      </c>
      <c r="U16" s="12">
        <v>6.8000000000000005E-2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29.93</v>
      </c>
      <c r="F17" s="6">
        <v>29.89</v>
      </c>
      <c r="G17" s="1">
        <v>55.1</v>
      </c>
      <c r="H17" s="1">
        <v>58.4</v>
      </c>
      <c r="I17" s="1">
        <v>51.2</v>
      </c>
      <c r="J17" s="6">
        <v>69.5</v>
      </c>
      <c r="K17" s="5">
        <v>0.36</v>
      </c>
      <c r="L17" s="6">
        <v>0.36099999999999999</v>
      </c>
      <c r="M17" s="1">
        <v>83</v>
      </c>
      <c r="N17" s="6">
        <v>74</v>
      </c>
      <c r="O17" s="1" t="s">
        <v>25</v>
      </c>
      <c r="P17" s="1">
        <v>5</v>
      </c>
      <c r="Q17" s="1" t="s">
        <v>25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29.91</v>
      </c>
      <c r="F18" s="6">
        <v>29.95</v>
      </c>
      <c r="G18" s="1">
        <v>58.4</v>
      </c>
      <c r="H18" s="1">
        <v>55.4</v>
      </c>
      <c r="I18" s="1">
        <v>51.1</v>
      </c>
      <c r="J18" s="6">
        <v>65.400000000000006</v>
      </c>
      <c r="K18" s="5">
        <v>0.38200000000000001</v>
      </c>
      <c r="L18" s="6">
        <v>0.39100000000000001</v>
      </c>
      <c r="M18" s="1">
        <v>78</v>
      </c>
      <c r="N18" s="6">
        <v>90</v>
      </c>
      <c r="O18" s="1" t="s">
        <v>25</v>
      </c>
      <c r="P18" s="1">
        <v>2</v>
      </c>
      <c r="Q18" s="1" t="s">
        <v>25</v>
      </c>
      <c r="R18" s="6">
        <v>0.5</v>
      </c>
      <c r="S18" s="1">
        <v>10</v>
      </c>
      <c r="T18" s="1">
        <v>10</v>
      </c>
      <c r="U18" s="12">
        <v>0.02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30.1</v>
      </c>
      <c r="F19" s="6">
        <v>30.21</v>
      </c>
      <c r="G19" s="1">
        <v>59.5</v>
      </c>
      <c r="H19" s="1">
        <v>53.5</v>
      </c>
      <c r="I19" s="1">
        <v>51.7</v>
      </c>
      <c r="J19" s="6">
        <v>71.400000000000006</v>
      </c>
      <c r="K19" s="5">
        <v>0.42099999999999999</v>
      </c>
      <c r="L19" s="6">
        <v>0.38400000000000001</v>
      </c>
      <c r="M19" s="1">
        <v>83</v>
      </c>
      <c r="N19" s="6">
        <v>94</v>
      </c>
      <c r="O19" s="1" t="s">
        <v>25</v>
      </c>
      <c r="P19" s="1">
        <v>0.5</v>
      </c>
      <c r="Q19" s="1" t="s">
        <v>23</v>
      </c>
      <c r="R19" s="6">
        <v>1</v>
      </c>
      <c r="S19" s="1">
        <v>8</v>
      </c>
      <c r="T19" s="1">
        <v>5</v>
      </c>
      <c r="U19" s="12">
        <v>2E-3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30.32</v>
      </c>
      <c r="F20" s="6">
        <v>30.38</v>
      </c>
      <c r="G20" s="1">
        <v>63</v>
      </c>
      <c r="H20" s="1">
        <v>47.6</v>
      </c>
      <c r="I20" s="1">
        <v>46.8</v>
      </c>
      <c r="J20" s="6">
        <v>69.3</v>
      </c>
      <c r="K20" s="5">
        <v>0.41599999999999998</v>
      </c>
      <c r="L20" s="6">
        <v>0.28399999999999997</v>
      </c>
      <c r="M20" s="1">
        <v>73</v>
      </c>
      <c r="N20" s="6">
        <v>87</v>
      </c>
      <c r="O20" s="1" t="s">
        <v>24</v>
      </c>
      <c r="P20" s="1">
        <v>2</v>
      </c>
      <c r="Q20" s="1" t="s">
        <v>24</v>
      </c>
      <c r="R20" s="6">
        <v>1</v>
      </c>
      <c r="S20" s="1">
        <v>3</v>
      </c>
      <c r="T20" s="1">
        <v>2</v>
      </c>
      <c r="U20" s="12">
        <v>3.0000000000000001E-3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30.42</v>
      </c>
      <c r="F21" s="6">
        <v>30.29</v>
      </c>
      <c r="G21" s="1">
        <v>55.9</v>
      </c>
      <c r="H21" s="1">
        <v>53</v>
      </c>
      <c r="I21" s="1">
        <v>42.5</v>
      </c>
      <c r="J21" s="6">
        <v>66.099999999999994</v>
      </c>
      <c r="K21" s="5">
        <v>0.33500000000000002</v>
      </c>
      <c r="L21" s="6">
        <v>0.32300000000000001</v>
      </c>
      <c r="M21" s="1">
        <v>76</v>
      </c>
      <c r="N21" s="6">
        <v>80</v>
      </c>
      <c r="O21" s="1" t="s">
        <v>24</v>
      </c>
      <c r="P21" s="1">
        <v>1</v>
      </c>
      <c r="Q21" s="1" t="s">
        <v>27</v>
      </c>
      <c r="R21" s="6">
        <v>1</v>
      </c>
      <c r="S21" s="1">
        <v>4</v>
      </c>
      <c r="T21" s="1">
        <v>10</v>
      </c>
      <c r="U21" s="12" t="s">
        <v>22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30.24</v>
      </c>
      <c r="F22" s="6">
        <v>30.04</v>
      </c>
      <c r="G22" s="1">
        <v>52.6</v>
      </c>
      <c r="H22" s="1">
        <v>51</v>
      </c>
      <c r="I22" s="1">
        <v>47.1</v>
      </c>
      <c r="J22" s="6">
        <v>59.5</v>
      </c>
      <c r="K22" s="5">
        <v>0.28100000000000003</v>
      </c>
      <c r="L22" s="6">
        <v>0.26100000000000001</v>
      </c>
      <c r="M22" s="1">
        <v>71</v>
      </c>
      <c r="N22" s="6">
        <v>70</v>
      </c>
      <c r="O22" s="1" t="s">
        <v>27</v>
      </c>
      <c r="P22" s="1">
        <v>3</v>
      </c>
      <c r="Q22" s="1" t="s">
        <v>25</v>
      </c>
      <c r="R22" s="6">
        <v>5</v>
      </c>
      <c r="S22" s="1">
        <v>10</v>
      </c>
      <c r="T22" s="1">
        <v>10</v>
      </c>
      <c r="U22" s="12">
        <v>2.7E-2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29.99</v>
      </c>
      <c r="F23" s="6">
        <v>30.02</v>
      </c>
      <c r="G23" s="1">
        <v>50.3</v>
      </c>
      <c r="H23" s="1">
        <v>46.2</v>
      </c>
      <c r="I23" s="1">
        <v>45.9</v>
      </c>
      <c r="J23" s="6">
        <v>59.3</v>
      </c>
      <c r="K23" s="5">
        <v>0.30199999999999999</v>
      </c>
      <c r="L23" s="6">
        <v>0.255</v>
      </c>
      <c r="M23" s="1">
        <v>83</v>
      </c>
      <c r="N23" s="6">
        <v>83</v>
      </c>
      <c r="O23" s="1" t="s">
        <v>28</v>
      </c>
      <c r="P23" s="1">
        <v>3</v>
      </c>
      <c r="Q23" s="1" t="s">
        <v>24</v>
      </c>
      <c r="R23" s="6">
        <v>0.5</v>
      </c>
      <c r="S23" s="1">
        <v>10</v>
      </c>
      <c r="T23" s="1">
        <v>10</v>
      </c>
      <c r="U23" s="12">
        <v>0.01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30.05</v>
      </c>
      <c r="F24" s="6">
        <v>30.14</v>
      </c>
      <c r="G24" s="1">
        <v>49.8</v>
      </c>
      <c r="H24" s="1">
        <v>41</v>
      </c>
      <c r="I24" s="1">
        <v>40.700000000000003</v>
      </c>
      <c r="J24" s="6">
        <v>57.9</v>
      </c>
      <c r="K24" s="5">
        <v>0.26600000000000001</v>
      </c>
      <c r="L24" s="6">
        <v>0.23300000000000001</v>
      </c>
      <c r="M24" s="1">
        <v>75</v>
      </c>
      <c r="N24" s="6">
        <v>91</v>
      </c>
      <c r="O24" s="1" t="s">
        <v>24</v>
      </c>
      <c r="P24" s="1">
        <v>1</v>
      </c>
      <c r="Q24" s="1" t="s">
        <v>24</v>
      </c>
      <c r="R24" s="6">
        <v>1</v>
      </c>
      <c r="S24" s="1">
        <v>10</v>
      </c>
      <c r="T24" s="1">
        <v>0</v>
      </c>
      <c r="U24" s="12">
        <v>2E-3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30.19</v>
      </c>
      <c r="F25" s="6">
        <v>30.16</v>
      </c>
      <c r="G25" s="1">
        <v>58.8</v>
      </c>
      <c r="H25" s="1">
        <v>53</v>
      </c>
      <c r="I25" s="1">
        <v>32.4</v>
      </c>
      <c r="J25" s="6">
        <v>66.7</v>
      </c>
      <c r="K25" s="5">
        <v>0.34599999999999997</v>
      </c>
      <c r="L25" s="6">
        <v>0.316</v>
      </c>
      <c r="M25" s="1">
        <v>70</v>
      </c>
      <c r="N25" s="6">
        <v>78</v>
      </c>
      <c r="O25" s="1" t="s">
        <v>25</v>
      </c>
      <c r="P25" s="1">
        <v>1</v>
      </c>
      <c r="Q25" s="1" t="s">
        <v>25</v>
      </c>
      <c r="R25" s="6">
        <v>1</v>
      </c>
      <c r="S25" s="1">
        <v>5</v>
      </c>
      <c r="T25" s="1">
        <v>10</v>
      </c>
      <c r="U25" s="12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30.16</v>
      </c>
      <c r="F26" s="6">
        <v>30.12</v>
      </c>
      <c r="G26" s="1">
        <v>58.2</v>
      </c>
      <c r="H26" s="1">
        <v>52.4</v>
      </c>
      <c r="I26" s="1">
        <v>47</v>
      </c>
      <c r="J26" s="6">
        <v>71.5</v>
      </c>
      <c r="K26" s="5">
        <v>0.371</v>
      </c>
      <c r="L26" s="6">
        <v>0.35299999999999998</v>
      </c>
      <c r="M26" s="1">
        <v>77</v>
      </c>
      <c r="N26" s="6">
        <v>89</v>
      </c>
      <c r="O26" s="1" t="s">
        <v>25</v>
      </c>
      <c r="P26" s="1">
        <v>2</v>
      </c>
      <c r="Q26" s="1" t="s">
        <v>21</v>
      </c>
      <c r="R26" s="6">
        <v>1</v>
      </c>
      <c r="S26" s="1">
        <v>10</v>
      </c>
      <c r="T26" s="1">
        <v>2</v>
      </c>
      <c r="U26" s="12" t="s">
        <v>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30.08</v>
      </c>
      <c r="F27" s="6">
        <v>30.06</v>
      </c>
      <c r="G27" s="1">
        <v>59.8</v>
      </c>
      <c r="H27" s="1">
        <v>58.4</v>
      </c>
      <c r="I27" s="1">
        <v>43.8</v>
      </c>
      <c r="J27" s="6">
        <v>74.8</v>
      </c>
      <c r="K27" s="5">
        <v>0.5</v>
      </c>
      <c r="L27" s="6">
        <v>0.374</v>
      </c>
      <c r="M27" s="1">
        <v>97</v>
      </c>
      <c r="N27" s="6">
        <v>77</v>
      </c>
      <c r="O27" s="1" t="s">
        <v>25</v>
      </c>
      <c r="P27" s="1">
        <v>2</v>
      </c>
      <c r="Q27" s="1" t="s">
        <v>25</v>
      </c>
      <c r="R27" s="6">
        <v>1</v>
      </c>
      <c r="S27" s="1">
        <v>3</v>
      </c>
      <c r="T27" s="1">
        <v>0</v>
      </c>
      <c r="U27" s="12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30.08</v>
      </c>
      <c r="F28" s="6">
        <v>30</v>
      </c>
      <c r="G28" s="1">
        <v>66.400000000000006</v>
      </c>
      <c r="H28" s="1">
        <v>59.9</v>
      </c>
      <c r="I28" s="1">
        <v>43.9</v>
      </c>
      <c r="J28" s="6">
        <v>78.2</v>
      </c>
      <c r="K28" s="5">
        <v>0.44400000000000001</v>
      </c>
      <c r="L28" s="6">
        <v>0.38500000000000001</v>
      </c>
      <c r="M28" s="1">
        <v>69</v>
      </c>
      <c r="N28" s="6">
        <v>75</v>
      </c>
      <c r="O28" s="1" t="s">
        <v>25</v>
      </c>
      <c r="P28" s="1">
        <v>3</v>
      </c>
      <c r="Q28" s="1" t="s">
        <v>25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29.97</v>
      </c>
      <c r="F29" s="6">
        <v>29.75</v>
      </c>
      <c r="G29" s="1">
        <v>61.8</v>
      </c>
      <c r="H29" s="1">
        <v>60.6</v>
      </c>
      <c r="I29" s="1">
        <v>48.1</v>
      </c>
      <c r="J29" s="6">
        <v>73.900000000000006</v>
      </c>
      <c r="K29" s="5">
        <v>0.40100000000000002</v>
      </c>
      <c r="L29" s="6">
        <v>0.41</v>
      </c>
      <c r="M29" s="1">
        <v>73</v>
      </c>
      <c r="N29" s="6">
        <v>78</v>
      </c>
      <c r="O29" s="1" t="s">
        <v>25</v>
      </c>
      <c r="P29" s="1">
        <v>1</v>
      </c>
      <c r="Q29" s="1" t="s">
        <v>29</v>
      </c>
      <c r="R29" s="6">
        <v>0.5</v>
      </c>
      <c r="S29" s="1">
        <v>4</v>
      </c>
      <c r="T29" s="1">
        <v>10</v>
      </c>
      <c r="U29" s="12" t="s">
        <v>22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29.59</v>
      </c>
      <c r="F30" s="6">
        <v>29.71</v>
      </c>
      <c r="G30" s="1">
        <v>61.6</v>
      </c>
      <c r="H30" s="1">
        <v>49.1</v>
      </c>
      <c r="I30" s="1">
        <v>48.9</v>
      </c>
      <c r="J30" s="6">
        <v>62.6</v>
      </c>
      <c r="K30" s="5">
        <v>0.443</v>
      </c>
      <c r="L30" s="6">
        <v>0.34399999999999997</v>
      </c>
      <c r="M30" s="1">
        <v>81</v>
      </c>
      <c r="N30" s="6">
        <v>98</v>
      </c>
      <c r="O30" s="1" t="s">
        <v>23</v>
      </c>
      <c r="P30" s="1">
        <v>2</v>
      </c>
      <c r="Q30" s="1" t="s">
        <v>27</v>
      </c>
      <c r="R30" s="6">
        <v>1</v>
      </c>
      <c r="S30" s="1">
        <v>10</v>
      </c>
      <c r="T30" s="1">
        <v>10</v>
      </c>
      <c r="U30" s="12">
        <v>0.48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29.96</v>
      </c>
      <c r="F31" s="6">
        <v>30.04</v>
      </c>
      <c r="G31" s="1">
        <v>59.1</v>
      </c>
      <c r="H31" s="1">
        <v>51.7</v>
      </c>
      <c r="I31" s="1">
        <v>46</v>
      </c>
      <c r="J31" s="6">
        <v>66.400000000000006</v>
      </c>
      <c r="K31" s="5">
        <v>0.34499999999999997</v>
      </c>
      <c r="L31" s="6">
        <v>0.32900000000000001</v>
      </c>
      <c r="M31" s="1">
        <v>70</v>
      </c>
      <c r="N31" s="6">
        <v>86</v>
      </c>
      <c r="O31" s="1" t="s">
        <v>24</v>
      </c>
      <c r="P31" s="1">
        <v>1</v>
      </c>
      <c r="Q31" s="1" t="s">
        <v>21</v>
      </c>
      <c r="R31" s="6">
        <v>2</v>
      </c>
      <c r="S31" s="1">
        <v>6</v>
      </c>
      <c r="T31" s="1">
        <v>8</v>
      </c>
      <c r="U31" s="12" t="s">
        <v>22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30.04</v>
      </c>
      <c r="F32" s="6">
        <v>30.01</v>
      </c>
      <c r="G32" s="1">
        <v>59.9</v>
      </c>
      <c r="H32" s="1">
        <v>54</v>
      </c>
      <c r="I32" s="1">
        <v>45.5</v>
      </c>
      <c r="J32" s="6">
        <v>68.099999999999994</v>
      </c>
      <c r="K32" s="5">
        <v>0.32200000000000001</v>
      </c>
      <c r="L32" s="6">
        <v>0.35599999999999998</v>
      </c>
      <c r="M32" s="1">
        <v>62</v>
      </c>
      <c r="N32" s="6">
        <v>85</v>
      </c>
      <c r="O32" s="1" t="s">
        <v>29</v>
      </c>
      <c r="P32" s="1">
        <v>4</v>
      </c>
      <c r="Q32" s="1" t="s">
        <v>25</v>
      </c>
      <c r="R32" s="6">
        <v>0.5</v>
      </c>
      <c r="S32" s="1">
        <v>8</v>
      </c>
      <c r="T32" s="1">
        <v>7</v>
      </c>
      <c r="U32" s="12" t="s">
        <v>22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29.98</v>
      </c>
      <c r="F33" s="6">
        <v>30.03</v>
      </c>
      <c r="G33" s="1">
        <v>61.6</v>
      </c>
      <c r="H33" s="1">
        <v>54.9</v>
      </c>
      <c r="I33" s="1">
        <v>48.4</v>
      </c>
      <c r="J33" s="6">
        <v>68.7</v>
      </c>
      <c r="K33" s="5">
        <v>0.374</v>
      </c>
      <c r="L33" s="6">
        <v>0.31900000000000001</v>
      </c>
      <c r="M33" s="1">
        <v>69</v>
      </c>
      <c r="N33" s="6">
        <v>74</v>
      </c>
      <c r="O33" s="1" t="s">
        <v>25</v>
      </c>
      <c r="P33" s="1">
        <v>3</v>
      </c>
      <c r="Q33" s="1" t="s">
        <v>25</v>
      </c>
      <c r="R33" s="6">
        <v>2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30.17</v>
      </c>
      <c r="F34" s="6">
        <v>30.23</v>
      </c>
      <c r="G34" s="1">
        <v>58.4</v>
      </c>
      <c r="H34" s="1">
        <v>51</v>
      </c>
      <c r="I34" s="1">
        <v>39.200000000000003</v>
      </c>
      <c r="J34" s="6">
        <v>67.3</v>
      </c>
      <c r="K34" s="5">
        <v>0.34599999999999997</v>
      </c>
      <c r="L34" s="6">
        <v>0.315</v>
      </c>
      <c r="M34" s="1">
        <v>71</v>
      </c>
      <c r="N34" s="6">
        <v>84</v>
      </c>
      <c r="O34" s="1" t="s">
        <v>25</v>
      </c>
      <c r="P34" s="1">
        <v>1</v>
      </c>
      <c r="Q34" s="1" t="s">
        <v>21</v>
      </c>
      <c r="R34" s="6">
        <v>1</v>
      </c>
      <c r="S34" s="1">
        <v>4</v>
      </c>
      <c r="T34" s="1">
        <v>10</v>
      </c>
      <c r="U34" s="12" t="s">
        <v>22</v>
      </c>
    </row>
    <row r="35" spans="1:21" s="1" customFormat="1">
      <c r="A35" s="5" t="s">
        <v>52</v>
      </c>
      <c r="B35" s="1">
        <v>1883</v>
      </c>
      <c r="C35" s="1" t="s">
        <v>20</v>
      </c>
      <c r="D35" s="8">
        <v>31</v>
      </c>
      <c r="E35" s="7">
        <v>30.22</v>
      </c>
      <c r="F35" s="9">
        <v>30.16</v>
      </c>
      <c r="G35" s="8">
        <v>64</v>
      </c>
      <c r="H35" s="8">
        <v>54.6</v>
      </c>
      <c r="I35" s="8">
        <v>42</v>
      </c>
      <c r="J35" s="9">
        <v>69.2</v>
      </c>
      <c r="K35" s="7">
        <v>0.41599999999999998</v>
      </c>
      <c r="L35" s="9">
        <v>0.28999999999999998</v>
      </c>
      <c r="M35" s="8">
        <v>70</v>
      </c>
      <c r="N35" s="9">
        <v>69</v>
      </c>
      <c r="O35" s="8" t="s">
        <v>39</v>
      </c>
      <c r="P35" s="8">
        <v>2</v>
      </c>
      <c r="Q35" s="8" t="s">
        <v>29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29.952999999999999</v>
      </c>
      <c r="F36" s="16">
        <v>29.957999999999998</v>
      </c>
      <c r="G36" s="14">
        <v>54.1</v>
      </c>
      <c r="H36" s="15">
        <v>48.7</v>
      </c>
      <c r="I36" s="15">
        <v>42.2</v>
      </c>
      <c r="J36" s="16">
        <v>61.7</v>
      </c>
      <c r="K36" s="15">
        <v>0.33400000000000002</v>
      </c>
      <c r="L36" s="15">
        <v>0.3</v>
      </c>
      <c r="M36" s="14">
        <v>78.599999999999994</v>
      </c>
      <c r="N36" s="16">
        <v>86.3</v>
      </c>
      <c r="O36" s="14" t="s">
        <v>22</v>
      </c>
      <c r="P36" s="15">
        <v>2.1</v>
      </c>
      <c r="Q36" s="15" t="s">
        <v>22</v>
      </c>
      <c r="R36" s="16">
        <v>1.5</v>
      </c>
      <c r="S36" s="14">
        <v>7.8</v>
      </c>
      <c r="T36" s="16">
        <v>7.1</v>
      </c>
      <c r="U36" s="17">
        <v>1.7330000000000001</v>
      </c>
    </row>
    <row r="37" spans="1:21">
      <c r="E37">
        <f>SUM(E5:E35)/31</f>
        <v>29.953548387096781</v>
      </c>
      <c r="F37">
        <f>SUM(F5:F35)/31</f>
        <v>29.95870967741935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D19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29.8</v>
      </c>
      <c r="F5" s="6">
        <v>29.92</v>
      </c>
      <c r="G5" s="1">
        <v>51.4</v>
      </c>
      <c r="H5" s="1">
        <v>41.1</v>
      </c>
      <c r="I5" s="1">
        <v>38.9</v>
      </c>
      <c r="J5" s="6">
        <v>59.7</v>
      </c>
      <c r="K5" s="5">
        <v>0.29699999999999999</v>
      </c>
      <c r="L5" s="6">
        <v>0.23200000000000001</v>
      </c>
      <c r="M5" s="1">
        <v>78</v>
      </c>
      <c r="N5" s="6">
        <v>90</v>
      </c>
      <c r="O5" s="1" t="s">
        <v>54</v>
      </c>
      <c r="P5" s="1">
        <v>3</v>
      </c>
      <c r="Q5" s="1" t="s">
        <v>55</v>
      </c>
      <c r="R5" s="6">
        <v>4</v>
      </c>
      <c r="S5" s="1">
        <v>4</v>
      </c>
      <c r="T5" s="1">
        <v>10</v>
      </c>
      <c r="U5" s="12" t="s">
        <v>22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29.94</v>
      </c>
      <c r="F6" s="6">
        <v>29.93</v>
      </c>
      <c r="G6" s="1">
        <v>40.799999999999997</v>
      </c>
      <c r="H6" s="1">
        <v>38.700000000000003</v>
      </c>
      <c r="I6" s="1">
        <v>38.1</v>
      </c>
      <c r="J6" s="6">
        <v>46.2</v>
      </c>
      <c r="K6" s="5">
        <v>0.23</v>
      </c>
      <c r="L6" s="6">
        <v>0.19800000000000001</v>
      </c>
      <c r="M6" s="1">
        <v>91</v>
      </c>
      <c r="N6" s="6">
        <v>85</v>
      </c>
      <c r="O6" s="1" t="s">
        <v>54</v>
      </c>
      <c r="P6" s="1">
        <v>4</v>
      </c>
      <c r="Q6" s="1" t="s">
        <v>35</v>
      </c>
      <c r="R6" s="6">
        <v>3</v>
      </c>
      <c r="S6" s="1">
        <v>9</v>
      </c>
      <c r="T6" s="1">
        <v>5</v>
      </c>
      <c r="U6" s="12" t="s">
        <v>22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29.85</v>
      </c>
      <c r="F7" s="6">
        <v>29.9</v>
      </c>
      <c r="G7" s="1">
        <v>42.9</v>
      </c>
      <c r="H7" s="1">
        <v>33.200000000000003</v>
      </c>
      <c r="I7" s="1">
        <v>33.200000000000003</v>
      </c>
      <c r="J7" s="6">
        <v>48.8</v>
      </c>
      <c r="K7" s="5">
        <v>0.23899999999999999</v>
      </c>
      <c r="L7" s="6">
        <v>0.159</v>
      </c>
      <c r="M7" s="1">
        <v>87</v>
      </c>
      <c r="N7" s="6">
        <v>83</v>
      </c>
      <c r="O7" s="1" t="s">
        <v>35</v>
      </c>
      <c r="P7" s="1">
        <v>3</v>
      </c>
      <c r="Q7" s="1" t="s">
        <v>33</v>
      </c>
      <c r="R7" s="6">
        <v>0</v>
      </c>
      <c r="S7" s="1">
        <v>9</v>
      </c>
      <c r="T7" s="1">
        <v>0</v>
      </c>
      <c r="U7" s="12" t="s">
        <v>22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29.87</v>
      </c>
      <c r="F8" s="6">
        <v>29.91</v>
      </c>
      <c r="G8" s="1">
        <v>41</v>
      </c>
      <c r="H8" s="1">
        <v>33.299999999999997</v>
      </c>
      <c r="I8" s="1">
        <v>30.6</v>
      </c>
      <c r="J8" s="6">
        <v>46.3</v>
      </c>
      <c r="K8" s="5">
        <v>0.21099999999999999</v>
      </c>
      <c r="L8" s="6">
        <v>0.18</v>
      </c>
      <c r="M8" s="1">
        <v>83</v>
      </c>
      <c r="N8" s="6">
        <v>94</v>
      </c>
      <c r="O8" s="1" t="s">
        <v>35</v>
      </c>
      <c r="P8" s="1">
        <v>2</v>
      </c>
      <c r="Q8" s="1" t="s">
        <v>55</v>
      </c>
      <c r="R8" s="6">
        <v>3</v>
      </c>
      <c r="S8" s="1">
        <v>7</v>
      </c>
      <c r="T8" s="1">
        <v>1</v>
      </c>
      <c r="U8" s="12">
        <v>0.38900000000000001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29.88</v>
      </c>
      <c r="F9" s="6">
        <v>29.93</v>
      </c>
      <c r="G9" s="1">
        <v>39.6</v>
      </c>
      <c r="H9" s="1">
        <v>40.6</v>
      </c>
      <c r="I9" s="1">
        <v>31.9</v>
      </c>
      <c r="J9" s="6">
        <v>48.6</v>
      </c>
      <c r="K9" s="5">
        <v>0.24199999999999999</v>
      </c>
      <c r="L9" s="6">
        <v>0.23599999999999999</v>
      </c>
      <c r="M9" s="1">
        <v>99</v>
      </c>
      <c r="N9" s="6">
        <v>93</v>
      </c>
      <c r="O9" s="1" t="s">
        <v>24</v>
      </c>
      <c r="P9" s="1">
        <v>2</v>
      </c>
      <c r="Q9" s="1" t="s">
        <v>24</v>
      </c>
      <c r="R9" s="6">
        <v>4</v>
      </c>
      <c r="S9" s="1">
        <v>10</v>
      </c>
      <c r="T9" s="1">
        <v>10</v>
      </c>
      <c r="U9" s="12">
        <v>0.159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29.94</v>
      </c>
      <c r="F10" s="6">
        <v>29.94</v>
      </c>
      <c r="G10" s="1">
        <v>50.9</v>
      </c>
      <c r="H10" s="1">
        <v>41.7</v>
      </c>
      <c r="I10" s="1">
        <v>38.700000000000003</v>
      </c>
      <c r="J10" s="6">
        <v>58.8</v>
      </c>
      <c r="K10" s="5">
        <v>0.32400000000000001</v>
      </c>
      <c r="L10" s="6">
        <v>0.23200000000000001</v>
      </c>
      <c r="M10" s="1">
        <v>87</v>
      </c>
      <c r="N10" s="6">
        <v>89</v>
      </c>
      <c r="O10" s="1" t="s">
        <v>54</v>
      </c>
      <c r="P10" s="1">
        <v>2</v>
      </c>
      <c r="Q10" s="1" t="s">
        <v>24</v>
      </c>
      <c r="R10" s="6">
        <v>4</v>
      </c>
      <c r="S10" s="1">
        <v>9</v>
      </c>
      <c r="T10" s="1">
        <v>0</v>
      </c>
      <c r="U10" s="12" t="s">
        <v>22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29.74</v>
      </c>
      <c r="F11" s="6">
        <v>29.66</v>
      </c>
      <c r="G11" s="1">
        <v>51.8</v>
      </c>
      <c r="H11" s="1">
        <v>45.3</v>
      </c>
      <c r="I11" s="1">
        <v>38.799999999999997</v>
      </c>
      <c r="J11" s="6">
        <v>54.7</v>
      </c>
      <c r="K11" s="5">
        <v>0.313</v>
      </c>
      <c r="L11" s="6">
        <v>0.30299999999999999</v>
      </c>
      <c r="M11" s="1">
        <v>81</v>
      </c>
      <c r="N11" s="6">
        <v>100</v>
      </c>
      <c r="O11" s="1" t="s">
        <v>56</v>
      </c>
      <c r="P11" s="1">
        <v>5</v>
      </c>
      <c r="Q11" s="1" t="s">
        <v>33</v>
      </c>
      <c r="R11" s="6">
        <v>0</v>
      </c>
      <c r="S11" s="1">
        <v>4</v>
      </c>
      <c r="T11" s="1">
        <v>10</v>
      </c>
      <c r="U11" s="12" t="s">
        <v>22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29.6</v>
      </c>
      <c r="F12" s="6">
        <v>29.54</v>
      </c>
      <c r="G12" s="1">
        <v>44.3</v>
      </c>
      <c r="H12" s="1">
        <v>42.6</v>
      </c>
      <c r="I12" s="1">
        <v>41.8</v>
      </c>
      <c r="J12" s="6">
        <v>48.2</v>
      </c>
      <c r="K12" s="5">
        <v>0.27</v>
      </c>
      <c r="L12" s="6">
        <v>0.27100000000000002</v>
      </c>
      <c r="M12" s="1">
        <v>93</v>
      </c>
      <c r="N12" s="6">
        <v>99</v>
      </c>
      <c r="O12" s="1" t="s">
        <v>24</v>
      </c>
      <c r="P12" s="1">
        <v>1</v>
      </c>
      <c r="Q12" s="1" t="s">
        <v>24</v>
      </c>
      <c r="R12" s="6">
        <v>1</v>
      </c>
      <c r="S12" s="1">
        <v>10</v>
      </c>
      <c r="T12" s="1">
        <v>10</v>
      </c>
      <c r="U12" s="12">
        <v>0.108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29.55</v>
      </c>
      <c r="F13" s="6">
        <v>29.62</v>
      </c>
      <c r="G13" s="1">
        <v>40.5</v>
      </c>
      <c r="H13" s="1">
        <v>37.9</v>
      </c>
      <c r="I13" s="1">
        <v>36.799999999999997</v>
      </c>
      <c r="J13" s="6">
        <v>43</v>
      </c>
      <c r="K13" s="5">
        <v>0.23499999999999999</v>
      </c>
      <c r="L13" s="6">
        <v>0.221</v>
      </c>
      <c r="M13" s="1">
        <v>94</v>
      </c>
      <c r="N13" s="6">
        <v>97</v>
      </c>
      <c r="O13" s="1" t="s">
        <v>35</v>
      </c>
      <c r="P13" s="1">
        <v>2</v>
      </c>
      <c r="Q13" s="1" t="s">
        <v>55</v>
      </c>
      <c r="R13" s="6">
        <v>2</v>
      </c>
      <c r="S13" s="1">
        <v>10</v>
      </c>
      <c r="T13" s="1">
        <v>10</v>
      </c>
      <c r="U13" s="12">
        <v>2.9000000000000001E-2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29.6</v>
      </c>
      <c r="F14" s="6">
        <v>29.7</v>
      </c>
      <c r="G14" s="1">
        <v>37.700000000000003</v>
      </c>
      <c r="H14" s="1">
        <v>36.9</v>
      </c>
      <c r="I14" s="1">
        <v>35.200000000000003</v>
      </c>
      <c r="J14" s="6">
        <v>41</v>
      </c>
      <c r="K14" s="5">
        <v>0.216</v>
      </c>
      <c r="L14" s="6">
        <v>0.216</v>
      </c>
      <c r="M14" s="1">
        <v>96</v>
      </c>
      <c r="N14" s="6">
        <v>98</v>
      </c>
      <c r="O14" s="1" t="s">
        <v>34</v>
      </c>
      <c r="P14" s="1">
        <v>1</v>
      </c>
      <c r="Q14" s="1" t="s">
        <v>57</v>
      </c>
      <c r="R14" s="6">
        <v>1</v>
      </c>
      <c r="S14" s="1">
        <v>10</v>
      </c>
      <c r="T14" s="1">
        <v>4</v>
      </c>
      <c r="U14" s="12">
        <v>0.23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29.83</v>
      </c>
      <c r="F15" s="6">
        <v>29.88</v>
      </c>
      <c r="G15" s="1">
        <v>44.6</v>
      </c>
      <c r="H15" s="1">
        <v>40.5</v>
      </c>
      <c r="I15" s="1">
        <v>34.299999999999997</v>
      </c>
      <c r="J15" s="6">
        <v>48.6</v>
      </c>
      <c r="K15" s="5">
        <v>0.22</v>
      </c>
      <c r="L15" s="6">
        <v>0.23100000000000001</v>
      </c>
      <c r="M15" s="1">
        <v>75</v>
      </c>
      <c r="N15" s="6">
        <v>92</v>
      </c>
      <c r="O15" s="1" t="s">
        <v>58</v>
      </c>
      <c r="P15" s="1">
        <v>3</v>
      </c>
      <c r="Q15" s="1" t="s">
        <v>57</v>
      </c>
      <c r="R15" s="6">
        <v>1</v>
      </c>
      <c r="S15" s="1">
        <v>9</v>
      </c>
      <c r="T15" s="1">
        <v>9</v>
      </c>
      <c r="U15" s="12">
        <v>0.25800000000000001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29.72</v>
      </c>
      <c r="F16" s="6">
        <v>29.84</v>
      </c>
      <c r="G16" s="1">
        <v>50.6</v>
      </c>
      <c r="H16" s="1">
        <v>53.6</v>
      </c>
      <c r="I16" s="1">
        <v>39.700000000000003</v>
      </c>
      <c r="J16" s="6">
        <v>59.7</v>
      </c>
      <c r="K16" s="5">
        <v>0.35299999999999998</v>
      </c>
      <c r="L16" s="6">
        <v>0.378</v>
      </c>
      <c r="M16" s="1">
        <v>96</v>
      </c>
      <c r="N16" s="6">
        <v>92</v>
      </c>
      <c r="O16" s="1" t="s">
        <v>59</v>
      </c>
      <c r="P16" s="1">
        <v>3</v>
      </c>
      <c r="Q16" s="1" t="s">
        <v>25</v>
      </c>
      <c r="R16" s="6">
        <v>5</v>
      </c>
      <c r="S16" s="1">
        <v>10</v>
      </c>
      <c r="T16" s="1">
        <v>10</v>
      </c>
      <c r="U16" s="12">
        <v>0.01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29.87</v>
      </c>
      <c r="F17" s="6">
        <v>29.87</v>
      </c>
      <c r="G17" s="1">
        <v>55.7</v>
      </c>
      <c r="H17" s="1">
        <v>56.2</v>
      </c>
      <c r="I17" s="1">
        <v>50.4</v>
      </c>
      <c r="J17" s="6">
        <v>61.5</v>
      </c>
      <c r="K17" s="5">
        <v>0.39</v>
      </c>
      <c r="L17" s="6">
        <v>0.378</v>
      </c>
      <c r="M17" s="1">
        <v>88</v>
      </c>
      <c r="N17" s="6">
        <v>84</v>
      </c>
      <c r="O17" s="1" t="s">
        <v>60</v>
      </c>
      <c r="P17" s="1">
        <v>5</v>
      </c>
      <c r="Q17" s="1" t="s">
        <v>25</v>
      </c>
      <c r="R17" s="6">
        <v>2</v>
      </c>
      <c r="S17" s="1">
        <v>9</v>
      </c>
      <c r="T17" s="1">
        <v>8</v>
      </c>
      <c r="U17" s="12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29.89</v>
      </c>
      <c r="F18" s="6">
        <v>29.94</v>
      </c>
      <c r="G18" s="1">
        <v>54.2</v>
      </c>
      <c r="H18" s="1">
        <v>53.6</v>
      </c>
      <c r="I18" s="1">
        <v>50</v>
      </c>
      <c r="J18" s="6">
        <v>58.8</v>
      </c>
      <c r="K18" s="5">
        <v>0.38500000000000001</v>
      </c>
      <c r="L18" s="6">
        <v>0.38600000000000001</v>
      </c>
      <c r="M18" s="1">
        <v>92</v>
      </c>
      <c r="N18" s="6">
        <v>94</v>
      </c>
      <c r="O18" s="1" t="s">
        <v>39</v>
      </c>
      <c r="P18" s="1">
        <v>1</v>
      </c>
      <c r="Q18" s="1" t="s">
        <v>60</v>
      </c>
      <c r="R18" s="6">
        <v>1</v>
      </c>
      <c r="S18" s="1">
        <v>10</v>
      </c>
      <c r="T18" s="1">
        <v>9</v>
      </c>
      <c r="U18" s="12">
        <v>0.04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30.08</v>
      </c>
      <c r="F19" s="6">
        <v>30.22</v>
      </c>
      <c r="G19" s="1">
        <v>60.1</v>
      </c>
      <c r="H19" s="1">
        <v>54.1</v>
      </c>
      <c r="I19" s="1">
        <v>48.8</v>
      </c>
      <c r="J19" s="6">
        <v>69.599999999999994</v>
      </c>
      <c r="K19" s="5">
        <v>0.41899999999999998</v>
      </c>
      <c r="L19" s="6">
        <v>0.379</v>
      </c>
      <c r="M19" s="1">
        <v>81</v>
      </c>
      <c r="N19" s="6">
        <v>90</v>
      </c>
      <c r="O19" s="1" t="s">
        <v>26</v>
      </c>
      <c r="P19" s="1">
        <v>1</v>
      </c>
      <c r="Q19" s="1" t="s">
        <v>43</v>
      </c>
      <c r="R19" s="6">
        <v>1</v>
      </c>
      <c r="S19" s="1">
        <v>4</v>
      </c>
      <c r="T19" s="1">
        <v>1</v>
      </c>
      <c r="U19" s="12" t="s">
        <v>22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30.33</v>
      </c>
      <c r="F20" s="6">
        <v>30.39</v>
      </c>
      <c r="G20" s="1">
        <v>62.1</v>
      </c>
      <c r="H20" s="1">
        <v>49</v>
      </c>
      <c r="I20" s="1">
        <v>47.3</v>
      </c>
      <c r="J20" s="6">
        <v>74.3</v>
      </c>
      <c r="K20" s="5">
        <v>0.42</v>
      </c>
      <c r="L20" s="6">
        <v>0.3</v>
      </c>
      <c r="M20" s="1">
        <v>75</v>
      </c>
      <c r="N20" s="6">
        <v>87</v>
      </c>
      <c r="O20" s="1" t="s">
        <v>56</v>
      </c>
      <c r="P20" s="1">
        <v>2</v>
      </c>
      <c r="Q20" s="1" t="s">
        <v>54</v>
      </c>
      <c r="R20" s="6">
        <v>2</v>
      </c>
      <c r="S20" s="1">
        <v>0</v>
      </c>
      <c r="T20" s="1">
        <v>0</v>
      </c>
      <c r="U20" s="12" t="s">
        <v>22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30.41</v>
      </c>
      <c r="F21" s="6">
        <v>30.32</v>
      </c>
      <c r="G21" s="1">
        <v>57.2</v>
      </c>
      <c r="H21" s="1">
        <v>54.7</v>
      </c>
      <c r="I21" s="1">
        <v>42.6</v>
      </c>
      <c r="J21" s="6">
        <v>65.099999999999994</v>
      </c>
      <c r="K21" s="5">
        <v>0.372</v>
      </c>
      <c r="L21" s="6">
        <v>0.316</v>
      </c>
      <c r="M21" s="1">
        <v>79</v>
      </c>
      <c r="N21" s="6">
        <v>74</v>
      </c>
      <c r="O21" s="1" t="s">
        <v>61</v>
      </c>
      <c r="P21" s="1">
        <v>1</v>
      </c>
      <c r="Q21" s="1" t="s">
        <v>62</v>
      </c>
      <c r="R21" s="6">
        <v>1</v>
      </c>
      <c r="S21" s="1">
        <v>7</v>
      </c>
      <c r="T21" s="1">
        <v>6</v>
      </c>
      <c r="U21" s="12" t="s">
        <v>22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30.27</v>
      </c>
      <c r="F22" s="6">
        <v>30.1</v>
      </c>
      <c r="G22" s="1">
        <v>53.8</v>
      </c>
      <c r="H22" s="1">
        <v>49</v>
      </c>
      <c r="I22" s="1">
        <v>44.6</v>
      </c>
      <c r="J22" s="6">
        <v>57.9</v>
      </c>
      <c r="K22" s="5">
        <v>0.311</v>
      </c>
      <c r="L22" s="6">
        <v>0.27600000000000002</v>
      </c>
      <c r="M22" s="1">
        <v>75</v>
      </c>
      <c r="N22" s="6">
        <v>79</v>
      </c>
      <c r="O22" s="1" t="s">
        <v>27</v>
      </c>
      <c r="P22" s="1">
        <v>4</v>
      </c>
      <c r="Q22" s="1" t="s">
        <v>57</v>
      </c>
      <c r="R22" s="6">
        <v>1</v>
      </c>
      <c r="S22" s="1">
        <v>7</v>
      </c>
      <c r="T22" s="1">
        <v>9</v>
      </c>
      <c r="U22" s="12" t="s">
        <v>22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30</v>
      </c>
      <c r="F23" s="6">
        <v>30.02</v>
      </c>
      <c r="G23" s="1">
        <v>52.4</v>
      </c>
      <c r="H23" s="1">
        <v>47</v>
      </c>
      <c r="I23" s="1">
        <v>46.8</v>
      </c>
      <c r="J23" s="6">
        <v>59.4</v>
      </c>
      <c r="K23" s="5">
        <v>0.30599999999999999</v>
      </c>
      <c r="L23" s="6">
        <v>0.28199999999999997</v>
      </c>
      <c r="M23" s="1">
        <v>78</v>
      </c>
      <c r="N23" s="6">
        <v>88</v>
      </c>
      <c r="O23" s="1" t="s">
        <v>34</v>
      </c>
      <c r="P23" s="1">
        <v>3</v>
      </c>
      <c r="Q23" s="1" t="s">
        <v>63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30.04</v>
      </c>
      <c r="F24" s="6">
        <v>30.14</v>
      </c>
      <c r="G24" s="1">
        <v>53</v>
      </c>
      <c r="H24" s="1">
        <v>45.9</v>
      </c>
      <c r="I24" s="1">
        <v>44.1</v>
      </c>
      <c r="J24" s="6">
        <v>57</v>
      </c>
      <c r="K24" s="5">
        <v>0.32</v>
      </c>
      <c r="L24" s="6">
        <v>0.27300000000000002</v>
      </c>
      <c r="M24" s="1">
        <v>79</v>
      </c>
      <c r="N24" s="6">
        <v>89</v>
      </c>
      <c r="O24" s="1" t="s">
        <v>33</v>
      </c>
      <c r="P24" s="1">
        <v>0</v>
      </c>
      <c r="Q24" s="1" t="s">
        <v>64</v>
      </c>
      <c r="R24" s="6">
        <v>1</v>
      </c>
      <c r="S24" s="1">
        <v>10</v>
      </c>
      <c r="T24" s="1">
        <v>8</v>
      </c>
      <c r="U24" s="12" t="s">
        <v>22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30.17</v>
      </c>
      <c r="F25" s="6">
        <v>30.16</v>
      </c>
      <c r="G25" s="1">
        <v>57.9</v>
      </c>
      <c r="H25" s="1">
        <v>56</v>
      </c>
      <c r="I25" s="1">
        <v>36.799999999999997</v>
      </c>
      <c r="J25" s="6">
        <v>67.599999999999994</v>
      </c>
      <c r="K25" s="5">
        <v>0.36599999999999999</v>
      </c>
      <c r="L25" s="6">
        <v>0.39400000000000002</v>
      </c>
      <c r="M25" s="1">
        <v>76</v>
      </c>
      <c r="N25" s="6">
        <v>88</v>
      </c>
      <c r="O25" s="1" t="s">
        <v>38</v>
      </c>
      <c r="P25" s="1">
        <v>1</v>
      </c>
      <c r="Q25" s="1" t="s">
        <v>57</v>
      </c>
      <c r="R25" s="6">
        <v>1</v>
      </c>
      <c r="S25" s="1">
        <v>4</v>
      </c>
      <c r="T25" s="1">
        <v>10</v>
      </c>
      <c r="U25" s="12" t="s">
        <v>22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30.14</v>
      </c>
      <c r="F26" s="6">
        <v>30.11</v>
      </c>
      <c r="G26" s="1">
        <v>62.9</v>
      </c>
      <c r="H26" s="1">
        <v>60.1</v>
      </c>
      <c r="I26" s="1">
        <v>53.3</v>
      </c>
      <c r="J26" s="6">
        <v>70.599999999999994</v>
      </c>
      <c r="K26" s="5">
        <v>0.47199999999999998</v>
      </c>
      <c r="L26" s="6">
        <v>0.41599999999999998</v>
      </c>
      <c r="M26" s="1">
        <v>82</v>
      </c>
      <c r="N26" s="6">
        <v>81</v>
      </c>
      <c r="O26" s="1" t="s">
        <v>57</v>
      </c>
      <c r="P26" s="1">
        <v>1</v>
      </c>
      <c r="Q26" s="1" t="s">
        <v>43</v>
      </c>
      <c r="R26" s="6">
        <v>1</v>
      </c>
      <c r="S26" s="1">
        <v>2</v>
      </c>
      <c r="T26" s="1">
        <v>7</v>
      </c>
      <c r="U26" s="12" t="s">
        <v>22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30.1</v>
      </c>
      <c r="F27" s="6">
        <v>30.09</v>
      </c>
      <c r="G27" s="1">
        <v>63.2</v>
      </c>
      <c r="H27" s="1">
        <v>58.3</v>
      </c>
      <c r="I27" s="1">
        <v>49.6</v>
      </c>
      <c r="J27" s="6">
        <v>73.8</v>
      </c>
      <c r="K27" s="5">
        <v>0.44400000000000001</v>
      </c>
      <c r="L27" s="6">
        <v>0.41699999999999998</v>
      </c>
      <c r="M27" s="1">
        <v>77</v>
      </c>
      <c r="N27" s="6">
        <v>85</v>
      </c>
      <c r="O27" s="1" t="s">
        <v>60</v>
      </c>
      <c r="P27" s="1">
        <v>2</v>
      </c>
      <c r="Q27" s="1" t="s">
        <v>65</v>
      </c>
      <c r="R27" s="6">
        <v>1</v>
      </c>
      <c r="S27" s="1">
        <v>2</v>
      </c>
      <c r="T27" s="1">
        <v>2</v>
      </c>
      <c r="U27" s="12" t="s">
        <v>22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30.08</v>
      </c>
      <c r="F28" s="6">
        <v>30.01</v>
      </c>
      <c r="G28" s="1">
        <v>65.099999999999994</v>
      </c>
      <c r="H28" s="1">
        <v>56.5</v>
      </c>
      <c r="I28" s="1">
        <v>48.7</v>
      </c>
      <c r="J28" s="6">
        <v>75</v>
      </c>
      <c r="K28" s="5">
        <v>0.47399999999999998</v>
      </c>
      <c r="L28" s="6">
        <v>0.40899999999999997</v>
      </c>
      <c r="M28" s="1">
        <v>77</v>
      </c>
      <c r="N28" s="6">
        <v>89</v>
      </c>
      <c r="O28" s="1" t="s">
        <v>26</v>
      </c>
      <c r="P28" s="1">
        <v>2</v>
      </c>
      <c r="Q28" s="1" t="s">
        <v>57</v>
      </c>
      <c r="R28" s="6">
        <v>2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29.95</v>
      </c>
      <c r="F29" s="6">
        <v>29.73</v>
      </c>
      <c r="G29" s="1">
        <v>59.4</v>
      </c>
      <c r="H29" s="1">
        <v>57.4</v>
      </c>
      <c r="I29" s="1">
        <v>48.2</v>
      </c>
      <c r="J29" s="6">
        <v>71.5</v>
      </c>
      <c r="K29" s="5">
        <v>0.4</v>
      </c>
      <c r="L29" s="6">
        <v>0.46800000000000003</v>
      </c>
      <c r="M29" s="1">
        <v>79</v>
      </c>
      <c r="N29" s="6">
        <v>99</v>
      </c>
      <c r="O29" s="1" t="s">
        <v>59</v>
      </c>
      <c r="P29" s="1">
        <v>1</v>
      </c>
      <c r="Q29" s="1" t="s">
        <v>37</v>
      </c>
      <c r="R29" s="6">
        <v>1</v>
      </c>
      <c r="S29" s="1">
        <v>0</v>
      </c>
      <c r="T29" s="1">
        <v>9</v>
      </c>
      <c r="U29" s="12">
        <v>0.104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29.61</v>
      </c>
      <c r="F30" s="6">
        <v>29.75</v>
      </c>
      <c r="G30" s="1">
        <v>55.5</v>
      </c>
      <c r="H30" s="1">
        <v>50.1</v>
      </c>
      <c r="I30" s="1">
        <v>48</v>
      </c>
      <c r="J30" s="6">
        <v>58</v>
      </c>
      <c r="K30" s="5">
        <v>0.40600000000000003</v>
      </c>
      <c r="L30" s="6">
        <v>0.35699999999999998</v>
      </c>
      <c r="M30" s="1">
        <v>92</v>
      </c>
      <c r="N30" s="6">
        <v>99</v>
      </c>
      <c r="O30" s="1" t="s">
        <v>55</v>
      </c>
      <c r="P30" s="1">
        <v>2</v>
      </c>
      <c r="Q30" s="1" t="s">
        <v>63</v>
      </c>
      <c r="R30" s="6">
        <v>1</v>
      </c>
      <c r="S30" s="1">
        <v>10</v>
      </c>
      <c r="T30" s="1">
        <v>10</v>
      </c>
      <c r="U30" s="12">
        <v>0.28499999999999998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29.96</v>
      </c>
      <c r="F31" s="6">
        <v>30.03</v>
      </c>
      <c r="G31" s="1">
        <v>54.7</v>
      </c>
      <c r="H31" s="1">
        <v>50.4</v>
      </c>
      <c r="I31" s="1">
        <v>42.2</v>
      </c>
      <c r="J31" s="6">
        <v>64.2</v>
      </c>
      <c r="K31" s="5">
        <v>0.35099999999999998</v>
      </c>
      <c r="L31" s="6">
        <v>0.29799999999999999</v>
      </c>
      <c r="M31" s="1">
        <v>81</v>
      </c>
      <c r="N31" s="6">
        <v>82</v>
      </c>
      <c r="O31" s="1" t="s">
        <v>63</v>
      </c>
      <c r="P31" s="1">
        <v>1</v>
      </c>
      <c r="Q31" s="1" t="s">
        <v>43</v>
      </c>
      <c r="R31" s="6">
        <v>1</v>
      </c>
      <c r="S31" s="1">
        <v>10</v>
      </c>
      <c r="T31" s="1">
        <v>1</v>
      </c>
      <c r="U31" s="12" t="s">
        <v>22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30.02</v>
      </c>
      <c r="F32" s="6">
        <v>29.99</v>
      </c>
      <c r="G32" s="1">
        <v>55</v>
      </c>
      <c r="H32" s="1">
        <v>55.4</v>
      </c>
      <c r="I32" s="1">
        <v>43.4</v>
      </c>
      <c r="J32" s="6">
        <v>64.7</v>
      </c>
      <c r="K32" s="5">
        <v>0.34399999999999997</v>
      </c>
      <c r="L32" s="6">
        <v>0.39100000000000001</v>
      </c>
      <c r="M32" s="1">
        <v>80</v>
      </c>
      <c r="N32" s="6">
        <v>89</v>
      </c>
      <c r="O32" s="1" t="s">
        <v>39</v>
      </c>
      <c r="P32" s="1">
        <v>4</v>
      </c>
      <c r="Q32" s="1" t="s">
        <v>39</v>
      </c>
      <c r="R32" s="6">
        <v>4</v>
      </c>
      <c r="S32" s="1">
        <v>9</v>
      </c>
      <c r="T32" s="1">
        <v>9</v>
      </c>
      <c r="U32" s="12" t="s">
        <v>22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29.95</v>
      </c>
      <c r="F33" s="6">
        <v>30.05</v>
      </c>
      <c r="G33" s="1">
        <v>57.3</v>
      </c>
      <c r="H33" s="1">
        <v>51.3</v>
      </c>
      <c r="I33" s="1">
        <v>50.1</v>
      </c>
      <c r="J33" s="6">
        <v>62.8</v>
      </c>
      <c r="K33" s="5">
        <v>0.42099999999999999</v>
      </c>
      <c r="L33" s="6">
        <v>0.318</v>
      </c>
      <c r="M33" s="1">
        <v>89</v>
      </c>
      <c r="N33" s="6">
        <v>83</v>
      </c>
      <c r="O33" s="1" t="s">
        <v>39</v>
      </c>
      <c r="P33" s="1">
        <v>5</v>
      </c>
      <c r="Q33" s="1" t="s">
        <v>58</v>
      </c>
      <c r="R33" s="6">
        <v>2</v>
      </c>
      <c r="S33" s="1">
        <v>10</v>
      </c>
      <c r="T33" s="1">
        <v>7</v>
      </c>
      <c r="U33" s="12">
        <v>8.7999999999999995E-2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30.17</v>
      </c>
      <c r="F34" s="6">
        <v>30.23</v>
      </c>
      <c r="G34" s="1">
        <v>58.1</v>
      </c>
      <c r="H34" s="1">
        <v>56.1</v>
      </c>
      <c r="I34" s="1">
        <v>41.3</v>
      </c>
      <c r="J34" s="6">
        <v>65.099999999999994</v>
      </c>
      <c r="K34" s="5">
        <v>0.38900000000000001</v>
      </c>
      <c r="L34" s="6">
        <v>0.36699999999999999</v>
      </c>
      <c r="M34" s="1">
        <v>80</v>
      </c>
      <c r="N34" s="6">
        <v>81</v>
      </c>
      <c r="O34" s="1" t="s">
        <v>36</v>
      </c>
      <c r="P34" s="1">
        <v>1</v>
      </c>
      <c r="Q34" s="1" t="s">
        <v>33</v>
      </c>
      <c r="R34" s="6">
        <v>0</v>
      </c>
      <c r="S34" s="1">
        <v>6</v>
      </c>
      <c r="T34" s="1">
        <v>3</v>
      </c>
      <c r="U34" s="12" t="s">
        <v>22</v>
      </c>
    </row>
    <row r="35" spans="1:21" s="1" customFormat="1">
      <c r="A35" s="5" t="s">
        <v>53</v>
      </c>
      <c r="B35" s="1">
        <v>1883</v>
      </c>
      <c r="C35" s="1" t="s">
        <v>20</v>
      </c>
      <c r="D35" s="8">
        <v>31</v>
      </c>
      <c r="E35" s="7">
        <v>30.21</v>
      </c>
      <c r="F35" s="9">
        <v>30.13</v>
      </c>
      <c r="G35" s="8">
        <v>60.3</v>
      </c>
      <c r="H35" s="8">
        <v>53.7</v>
      </c>
      <c r="I35" s="8">
        <v>44.2</v>
      </c>
      <c r="J35" s="9">
        <v>66.400000000000006</v>
      </c>
      <c r="K35" s="7">
        <v>0.38900000000000001</v>
      </c>
      <c r="L35" s="9">
        <v>0.35699999999999998</v>
      </c>
      <c r="M35" s="8">
        <v>75</v>
      </c>
      <c r="N35" s="9">
        <v>87</v>
      </c>
      <c r="O35" s="8" t="s">
        <v>25</v>
      </c>
      <c r="P35" s="8">
        <v>2</v>
      </c>
      <c r="Q35" s="8" t="s">
        <v>59</v>
      </c>
      <c r="R35" s="9">
        <v>1</v>
      </c>
      <c r="S35" s="8">
        <v>0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29.952999999999999</v>
      </c>
      <c r="F36" s="16">
        <v>29.969000000000001</v>
      </c>
      <c r="G36" s="14">
        <v>52.7</v>
      </c>
      <c r="H36" s="15">
        <v>48.4</v>
      </c>
      <c r="I36" s="15">
        <v>42.5</v>
      </c>
      <c r="J36" s="16">
        <v>59.6</v>
      </c>
      <c r="K36" s="15">
        <v>0.34</v>
      </c>
      <c r="L36" s="15">
        <v>0.311</v>
      </c>
      <c r="M36" s="14">
        <v>83.7</v>
      </c>
      <c r="N36" s="16">
        <v>89</v>
      </c>
      <c r="O36" s="14" t="s">
        <v>22</v>
      </c>
      <c r="P36" s="15">
        <v>2.2999999999999998</v>
      </c>
      <c r="Q36" s="15" t="s">
        <v>22</v>
      </c>
      <c r="R36" s="16">
        <v>1.7</v>
      </c>
      <c r="S36" s="14">
        <v>6.8</v>
      </c>
      <c r="T36" s="16">
        <v>6.1</v>
      </c>
      <c r="U36" s="17">
        <v>1.7</v>
      </c>
    </row>
    <row r="37" spans="1:21">
      <c r="E37">
        <f>SUM(E5:E35)/31</f>
        <v>29.953870967741942</v>
      </c>
      <c r="U37">
        <f>SUM(U5:U35)</f>
        <v>1.7000000000000002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E19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66</v>
      </c>
      <c r="B5" s="1">
        <v>1883</v>
      </c>
      <c r="C5" s="1" t="s">
        <v>20</v>
      </c>
      <c r="D5" s="1">
        <v>1</v>
      </c>
      <c r="E5" s="5">
        <v>29.83</v>
      </c>
      <c r="F5" s="6">
        <v>29.98</v>
      </c>
      <c r="G5" s="1">
        <v>51.9</v>
      </c>
      <c r="H5" s="1">
        <v>42.8</v>
      </c>
      <c r="I5" s="1">
        <v>41.2</v>
      </c>
      <c r="J5" s="6">
        <v>58.1</v>
      </c>
      <c r="K5" s="5">
        <v>0.245</v>
      </c>
      <c r="L5" s="6">
        <v>0.23400000000000001</v>
      </c>
      <c r="M5" s="1">
        <v>64</v>
      </c>
      <c r="N5" s="6">
        <v>85</v>
      </c>
      <c r="O5" s="1" t="s">
        <v>24</v>
      </c>
      <c r="P5" s="1">
        <v>4</v>
      </c>
      <c r="Q5" s="1" t="s">
        <v>26</v>
      </c>
      <c r="R5" s="6">
        <v>1</v>
      </c>
      <c r="S5" s="1">
        <v>3</v>
      </c>
      <c r="T5" s="1">
        <v>8</v>
      </c>
      <c r="U5" s="12" t="s">
        <v>22</v>
      </c>
    </row>
    <row r="6" spans="1:21" s="1" customFormat="1">
      <c r="A6" s="5" t="s">
        <v>66</v>
      </c>
      <c r="B6" s="1">
        <v>1883</v>
      </c>
      <c r="C6" s="1" t="s">
        <v>20</v>
      </c>
      <c r="D6" s="1">
        <v>2</v>
      </c>
      <c r="E6" s="5">
        <v>29.99</v>
      </c>
      <c r="F6" s="6">
        <v>30</v>
      </c>
      <c r="G6" s="1">
        <v>42</v>
      </c>
      <c r="H6" s="1">
        <v>39.799999999999997</v>
      </c>
      <c r="I6" s="1">
        <v>39</v>
      </c>
      <c r="J6" s="6">
        <v>47.4</v>
      </c>
      <c r="K6" s="5">
        <v>0.19600000000000001</v>
      </c>
      <c r="L6" s="6">
        <v>0.22</v>
      </c>
      <c r="M6" s="1">
        <v>74</v>
      </c>
      <c r="N6" s="6">
        <v>91</v>
      </c>
      <c r="O6" s="1" t="s">
        <v>28</v>
      </c>
      <c r="P6" s="1">
        <v>4</v>
      </c>
      <c r="Q6" s="1" t="s">
        <v>35</v>
      </c>
      <c r="R6" s="6">
        <v>2</v>
      </c>
      <c r="S6" s="1">
        <v>8</v>
      </c>
      <c r="T6" s="1">
        <v>7</v>
      </c>
      <c r="U6" s="12" t="s">
        <v>22</v>
      </c>
    </row>
    <row r="7" spans="1:21" s="1" customFormat="1">
      <c r="A7" s="5" t="s">
        <v>66</v>
      </c>
      <c r="B7" s="1">
        <v>1883</v>
      </c>
      <c r="C7" s="1" t="s">
        <v>20</v>
      </c>
      <c r="D7" s="1">
        <v>3</v>
      </c>
      <c r="E7" s="5">
        <v>29.87</v>
      </c>
      <c r="F7" s="6">
        <v>29.94</v>
      </c>
      <c r="G7" s="1">
        <v>46.6</v>
      </c>
      <c r="H7" s="1">
        <v>34.9</v>
      </c>
      <c r="I7" s="1">
        <v>34</v>
      </c>
      <c r="J7" s="6">
        <v>49.1</v>
      </c>
      <c r="K7" s="5">
        <v>0.26700000000000002</v>
      </c>
      <c r="L7" s="6">
        <v>0.16800000000000001</v>
      </c>
      <c r="M7" s="1">
        <v>85</v>
      </c>
      <c r="N7" s="6">
        <v>82</v>
      </c>
      <c r="O7" s="1" t="s">
        <v>27</v>
      </c>
      <c r="P7" s="1">
        <v>1</v>
      </c>
      <c r="Q7" s="1" t="s">
        <v>26</v>
      </c>
      <c r="R7" s="6">
        <v>1</v>
      </c>
      <c r="S7" s="1">
        <v>3</v>
      </c>
      <c r="T7" s="1">
        <v>4</v>
      </c>
      <c r="U7" s="12" t="s">
        <v>22</v>
      </c>
    </row>
    <row r="8" spans="1:21" s="1" customFormat="1">
      <c r="A8" s="5" t="s">
        <v>66</v>
      </c>
      <c r="B8" s="1">
        <v>1883</v>
      </c>
      <c r="C8" s="1" t="s">
        <v>20</v>
      </c>
      <c r="D8" s="1">
        <v>4</v>
      </c>
      <c r="E8" s="5">
        <v>29.92</v>
      </c>
      <c r="F8" s="6">
        <v>29.97</v>
      </c>
      <c r="G8" s="1">
        <v>39.799999999999997</v>
      </c>
      <c r="H8" s="1">
        <v>36.4</v>
      </c>
      <c r="I8" s="1">
        <v>26.7</v>
      </c>
      <c r="J8" s="6">
        <v>44.1</v>
      </c>
      <c r="K8" s="5">
        <v>0.20699999999999999</v>
      </c>
      <c r="L8" s="6">
        <v>0.16900000000000001</v>
      </c>
      <c r="M8" s="1">
        <v>85</v>
      </c>
      <c r="N8" s="6">
        <v>78</v>
      </c>
      <c r="O8" s="1" t="s">
        <v>24</v>
      </c>
      <c r="P8" s="1">
        <v>5</v>
      </c>
      <c r="Q8" s="1" t="s">
        <v>42</v>
      </c>
      <c r="R8" s="6">
        <v>2</v>
      </c>
      <c r="S8" s="1">
        <v>8</v>
      </c>
      <c r="T8" s="1">
        <v>5</v>
      </c>
      <c r="U8" s="12">
        <v>4.4999999999999998E-2</v>
      </c>
    </row>
    <row r="9" spans="1:21" s="1" customFormat="1">
      <c r="A9" s="5" t="s">
        <v>66</v>
      </c>
      <c r="B9" s="1">
        <v>1883</v>
      </c>
      <c r="C9" s="1" t="s">
        <v>20</v>
      </c>
      <c r="D9" s="1">
        <v>5</v>
      </c>
      <c r="E9" s="5">
        <v>29.96</v>
      </c>
      <c r="F9" s="6">
        <v>29.99</v>
      </c>
      <c r="G9" s="1">
        <v>36.799999999999997</v>
      </c>
      <c r="H9" s="1">
        <v>40</v>
      </c>
      <c r="I9" s="1">
        <v>32.5</v>
      </c>
      <c r="J9" s="6">
        <v>40.200000000000003</v>
      </c>
      <c r="K9" s="5">
        <v>0.191</v>
      </c>
      <c r="L9" s="6">
        <v>0.218</v>
      </c>
      <c r="M9" s="1">
        <v>88</v>
      </c>
      <c r="N9" s="6">
        <v>89</v>
      </c>
      <c r="O9" s="1" t="s">
        <v>24</v>
      </c>
      <c r="P9" s="1">
        <v>3</v>
      </c>
      <c r="Q9" s="1" t="s">
        <v>42</v>
      </c>
      <c r="R9" s="6">
        <v>3</v>
      </c>
      <c r="S9" s="1">
        <v>10</v>
      </c>
      <c r="T9" s="1">
        <v>8</v>
      </c>
      <c r="U9" s="12">
        <v>0.217</v>
      </c>
    </row>
    <row r="10" spans="1:21" s="1" customFormat="1">
      <c r="A10" s="5" t="s">
        <v>66</v>
      </c>
      <c r="B10" s="1">
        <v>1883</v>
      </c>
      <c r="C10" s="1" t="s">
        <v>20</v>
      </c>
      <c r="D10" s="1">
        <v>6</v>
      </c>
      <c r="E10" s="5">
        <v>30</v>
      </c>
      <c r="F10" s="6">
        <v>29.97</v>
      </c>
      <c r="G10" s="1">
        <v>44</v>
      </c>
      <c r="H10" s="1">
        <v>46.8</v>
      </c>
      <c r="I10" s="1">
        <v>37</v>
      </c>
      <c r="J10" s="6">
        <v>57.3</v>
      </c>
      <c r="K10" s="5">
        <v>0.23499999999999999</v>
      </c>
      <c r="L10" s="6">
        <v>0.24199999999999999</v>
      </c>
      <c r="M10" s="1">
        <v>81</v>
      </c>
      <c r="N10" s="6">
        <v>76</v>
      </c>
      <c r="O10" s="1" t="s">
        <v>24</v>
      </c>
      <c r="P10" s="1">
        <v>2</v>
      </c>
      <c r="Q10" s="1" t="s">
        <v>23</v>
      </c>
      <c r="R10" s="6">
        <v>3</v>
      </c>
      <c r="S10" s="1">
        <v>8</v>
      </c>
      <c r="T10" s="1">
        <v>2</v>
      </c>
      <c r="U10" s="12" t="s">
        <v>22</v>
      </c>
    </row>
    <row r="11" spans="1:21" s="1" customFormat="1">
      <c r="A11" s="5" t="s">
        <v>66</v>
      </c>
      <c r="B11" s="1">
        <v>1883</v>
      </c>
      <c r="C11" s="1" t="s">
        <v>20</v>
      </c>
      <c r="D11" s="1">
        <v>7</v>
      </c>
      <c r="E11" s="5">
        <v>29.74</v>
      </c>
      <c r="F11" s="6">
        <v>29.66</v>
      </c>
      <c r="G11" s="1">
        <v>46.3</v>
      </c>
      <c r="H11" s="1">
        <v>45.8</v>
      </c>
      <c r="I11" s="1">
        <v>37</v>
      </c>
      <c r="J11" s="6">
        <v>52.1</v>
      </c>
      <c r="K11" s="5">
        <v>0.218</v>
      </c>
      <c r="L11" s="6">
        <v>0.28699999999999998</v>
      </c>
      <c r="M11" s="1">
        <v>70</v>
      </c>
      <c r="N11" s="6">
        <v>93</v>
      </c>
      <c r="O11" s="1" t="s">
        <v>28</v>
      </c>
      <c r="P11" s="1">
        <v>2</v>
      </c>
      <c r="Q11" s="1" t="s">
        <v>26</v>
      </c>
      <c r="R11" s="6">
        <v>1</v>
      </c>
      <c r="S11" s="1">
        <v>7</v>
      </c>
      <c r="T11" s="1">
        <v>8</v>
      </c>
      <c r="U11" s="12">
        <v>7.0000000000000007E-2</v>
      </c>
    </row>
    <row r="12" spans="1:21" s="1" customFormat="1">
      <c r="A12" s="5" t="s">
        <v>66</v>
      </c>
      <c r="B12" s="1">
        <v>1883</v>
      </c>
      <c r="C12" s="1" t="s">
        <v>20</v>
      </c>
      <c r="D12" s="1">
        <v>8</v>
      </c>
      <c r="E12" s="5">
        <v>29.57</v>
      </c>
      <c r="F12" s="6">
        <v>29.53</v>
      </c>
      <c r="G12" s="1">
        <v>49.2</v>
      </c>
      <c r="H12" s="1">
        <v>42.1</v>
      </c>
      <c r="I12" s="1">
        <v>35</v>
      </c>
      <c r="J12" s="6">
        <v>55.1</v>
      </c>
      <c r="K12" s="5">
        <v>0.27100000000000002</v>
      </c>
      <c r="L12" s="6">
        <v>0.24199999999999999</v>
      </c>
      <c r="M12" s="1">
        <v>77</v>
      </c>
      <c r="N12" s="6">
        <v>90</v>
      </c>
      <c r="O12" s="1" t="s">
        <v>25</v>
      </c>
      <c r="P12" s="1">
        <v>1</v>
      </c>
      <c r="Q12" s="1" t="s">
        <v>21</v>
      </c>
      <c r="R12" s="6">
        <v>4</v>
      </c>
      <c r="S12" s="1">
        <v>6</v>
      </c>
      <c r="T12" s="1">
        <v>9</v>
      </c>
      <c r="U12" s="12">
        <v>0.26500000000000001</v>
      </c>
    </row>
    <row r="13" spans="1:21" s="1" customFormat="1">
      <c r="A13" s="5" t="s">
        <v>66</v>
      </c>
      <c r="B13" s="1">
        <v>1883</v>
      </c>
      <c r="C13" s="1" t="s">
        <v>20</v>
      </c>
      <c r="D13" s="1">
        <v>9</v>
      </c>
      <c r="E13" s="5">
        <v>29.58</v>
      </c>
      <c r="F13" s="6">
        <v>29.7</v>
      </c>
      <c r="G13" s="1">
        <v>43.5</v>
      </c>
      <c r="H13" s="1">
        <v>39.1</v>
      </c>
      <c r="I13" s="1">
        <v>37</v>
      </c>
      <c r="J13" s="6">
        <v>45.1</v>
      </c>
      <c r="K13" s="5">
        <v>0.247</v>
      </c>
      <c r="L13" s="6">
        <v>0.19600000000000001</v>
      </c>
      <c r="M13" s="1">
        <v>87</v>
      </c>
      <c r="N13" s="6">
        <v>82</v>
      </c>
      <c r="O13" s="1" t="s">
        <v>23</v>
      </c>
      <c r="P13" s="1">
        <v>3</v>
      </c>
      <c r="Q13" s="1" t="s">
        <v>42</v>
      </c>
      <c r="R13" s="6">
        <v>3</v>
      </c>
      <c r="S13" s="1">
        <v>9</v>
      </c>
      <c r="T13" s="1">
        <v>8</v>
      </c>
      <c r="U13" s="12">
        <v>0.02</v>
      </c>
    </row>
    <row r="14" spans="1:21" s="1" customFormat="1">
      <c r="A14" s="5" t="s">
        <v>66</v>
      </c>
      <c r="B14" s="1">
        <v>1883</v>
      </c>
      <c r="C14" s="1" t="s">
        <v>20</v>
      </c>
      <c r="D14" s="1">
        <v>10</v>
      </c>
      <c r="E14" s="5">
        <v>29.66</v>
      </c>
      <c r="F14" s="6">
        <v>29.76</v>
      </c>
      <c r="G14" s="1">
        <v>38.5</v>
      </c>
      <c r="H14" s="1">
        <v>38.799999999999997</v>
      </c>
      <c r="I14" s="1">
        <v>32</v>
      </c>
      <c r="J14" s="6">
        <v>42.1</v>
      </c>
      <c r="K14" s="5">
        <v>0.221</v>
      </c>
      <c r="L14" s="6">
        <v>0.218</v>
      </c>
      <c r="M14" s="1">
        <v>95</v>
      </c>
      <c r="N14" s="6">
        <v>93</v>
      </c>
      <c r="O14" s="1" t="s">
        <v>27</v>
      </c>
      <c r="P14" s="1">
        <v>2</v>
      </c>
      <c r="Q14" s="1" t="s">
        <v>36</v>
      </c>
      <c r="R14" s="6">
        <v>3</v>
      </c>
      <c r="S14" s="1">
        <v>9</v>
      </c>
      <c r="T14" s="1">
        <v>5</v>
      </c>
      <c r="U14" s="12">
        <v>0.123</v>
      </c>
    </row>
    <row r="15" spans="1:21" s="1" customFormat="1">
      <c r="A15" s="5" t="s">
        <v>66</v>
      </c>
      <c r="B15" s="1">
        <v>1883</v>
      </c>
      <c r="C15" s="1" t="s">
        <v>20</v>
      </c>
      <c r="D15" s="1">
        <v>11</v>
      </c>
      <c r="E15" s="5">
        <v>29.85</v>
      </c>
      <c r="F15" s="6">
        <v>29.86</v>
      </c>
      <c r="G15" s="1">
        <v>46</v>
      </c>
      <c r="H15" s="1">
        <v>41.3</v>
      </c>
      <c r="I15" s="1">
        <v>31.5</v>
      </c>
      <c r="J15" s="6">
        <v>51.1</v>
      </c>
      <c r="K15" s="5">
        <v>0.21299999999999999</v>
      </c>
      <c r="L15" s="6">
        <v>0.224</v>
      </c>
      <c r="M15" s="1">
        <v>69</v>
      </c>
      <c r="N15" s="6">
        <v>87</v>
      </c>
      <c r="O15" s="1" t="s">
        <v>26</v>
      </c>
      <c r="P15" s="1">
        <v>4</v>
      </c>
      <c r="Q15" s="1" t="s">
        <v>25</v>
      </c>
      <c r="R15" s="6">
        <v>4</v>
      </c>
      <c r="S15" s="1">
        <v>6</v>
      </c>
      <c r="T15" s="1">
        <v>9</v>
      </c>
      <c r="U15" s="12">
        <v>0.1</v>
      </c>
    </row>
    <row r="16" spans="1:21" s="1" customFormat="1">
      <c r="A16" s="5" t="s">
        <v>66</v>
      </c>
      <c r="B16" s="1">
        <v>1883</v>
      </c>
      <c r="C16" s="1" t="s">
        <v>20</v>
      </c>
      <c r="D16" s="1">
        <v>12</v>
      </c>
      <c r="E16" s="5">
        <v>29.67</v>
      </c>
      <c r="F16" s="6">
        <v>29.78</v>
      </c>
      <c r="G16" s="1">
        <v>53.9</v>
      </c>
      <c r="H16" s="1">
        <v>51.9</v>
      </c>
      <c r="I16" s="1">
        <v>39.5</v>
      </c>
      <c r="J16" s="6">
        <v>56.1</v>
      </c>
      <c r="K16" s="5">
        <v>0.33600000000000002</v>
      </c>
      <c r="L16" s="6">
        <v>0.35499999999999998</v>
      </c>
      <c r="M16" s="1">
        <v>81</v>
      </c>
      <c r="N16" s="6">
        <v>92</v>
      </c>
      <c r="O16" s="1" t="s">
        <v>26</v>
      </c>
      <c r="P16" s="1">
        <v>6</v>
      </c>
      <c r="Q16" s="1" t="s">
        <v>27</v>
      </c>
      <c r="R16" s="6">
        <v>7</v>
      </c>
      <c r="S16" s="1">
        <v>8</v>
      </c>
      <c r="T16" s="1">
        <v>10</v>
      </c>
      <c r="U16" s="12">
        <v>0.03</v>
      </c>
    </row>
    <row r="17" spans="1:21" s="1" customFormat="1">
      <c r="A17" s="5" t="s">
        <v>66</v>
      </c>
      <c r="B17" s="1">
        <v>1883</v>
      </c>
      <c r="C17" s="1" t="s">
        <v>20</v>
      </c>
      <c r="D17" s="1">
        <v>13</v>
      </c>
      <c r="E17" s="5">
        <v>29.81</v>
      </c>
      <c r="F17" s="6">
        <v>29.83</v>
      </c>
      <c r="G17" s="1">
        <v>56.9</v>
      </c>
      <c r="H17" s="1">
        <v>50.9</v>
      </c>
      <c r="I17" s="1">
        <v>50.9</v>
      </c>
      <c r="J17" s="6">
        <v>57.1</v>
      </c>
      <c r="K17" s="5">
        <v>0.40699999999999997</v>
      </c>
      <c r="L17" s="6">
        <v>0.34</v>
      </c>
      <c r="M17" s="1">
        <v>88</v>
      </c>
      <c r="N17" s="6">
        <v>92</v>
      </c>
      <c r="O17" s="1" t="s">
        <v>29</v>
      </c>
      <c r="P17" s="1">
        <v>6</v>
      </c>
      <c r="Q17" s="1" t="s">
        <v>29</v>
      </c>
      <c r="R17" s="6">
        <v>3</v>
      </c>
      <c r="S17" s="1">
        <v>10</v>
      </c>
      <c r="T17" s="1">
        <v>8</v>
      </c>
      <c r="U17" s="12">
        <v>6.7000000000000004E-2</v>
      </c>
    </row>
    <row r="18" spans="1:21" s="1" customFormat="1">
      <c r="A18" s="5" t="s">
        <v>66</v>
      </c>
      <c r="B18" s="1">
        <v>1883</v>
      </c>
      <c r="C18" s="1" t="s">
        <v>20</v>
      </c>
      <c r="D18" s="1">
        <v>14</v>
      </c>
      <c r="E18" s="5">
        <v>29.85</v>
      </c>
      <c r="F18" s="6">
        <v>29.97</v>
      </c>
      <c r="G18" s="1">
        <v>54.9</v>
      </c>
      <c r="H18" s="1">
        <v>49.1</v>
      </c>
      <c r="I18" s="1">
        <v>45</v>
      </c>
      <c r="J18" s="6">
        <v>63.1</v>
      </c>
      <c r="K18" s="5">
        <v>0.309</v>
      </c>
      <c r="L18" s="6">
        <v>0.28100000000000003</v>
      </c>
      <c r="M18" s="1">
        <v>72</v>
      </c>
      <c r="N18" s="6">
        <v>81</v>
      </c>
      <c r="O18" s="1" t="s">
        <v>38</v>
      </c>
      <c r="P18" s="1">
        <v>2</v>
      </c>
      <c r="Q18" s="1" t="s">
        <v>26</v>
      </c>
      <c r="R18" s="6">
        <v>1</v>
      </c>
      <c r="S18" s="1">
        <v>6</v>
      </c>
      <c r="T18" s="1">
        <v>2</v>
      </c>
      <c r="U18" s="12" t="s">
        <v>22</v>
      </c>
    </row>
    <row r="19" spans="1:21" s="1" customFormat="1">
      <c r="A19" s="5" t="s">
        <v>66</v>
      </c>
      <c r="B19" s="1">
        <v>1883</v>
      </c>
      <c r="C19" s="1" t="s">
        <v>20</v>
      </c>
      <c r="D19" s="1">
        <v>15</v>
      </c>
      <c r="E19" s="5">
        <v>30.11</v>
      </c>
      <c r="F19" s="6">
        <v>30.28</v>
      </c>
      <c r="G19" s="1">
        <v>54.9</v>
      </c>
      <c r="H19" s="1">
        <v>52.4</v>
      </c>
      <c r="I19" s="1">
        <v>43.5</v>
      </c>
      <c r="J19" s="6">
        <v>61.9</v>
      </c>
      <c r="K19" s="5">
        <v>0.30299999999999999</v>
      </c>
      <c r="L19" s="6">
        <v>0.30499999999999999</v>
      </c>
      <c r="M19" s="1">
        <v>70</v>
      </c>
      <c r="N19" s="6">
        <v>78</v>
      </c>
      <c r="O19" s="1" t="s">
        <v>29</v>
      </c>
      <c r="P19" s="1">
        <v>1</v>
      </c>
      <c r="Q19" s="1" t="s">
        <v>36</v>
      </c>
      <c r="R19" s="6">
        <v>3</v>
      </c>
      <c r="S19" s="1">
        <v>6</v>
      </c>
      <c r="T19" s="1">
        <v>9</v>
      </c>
      <c r="U19" s="12" t="s">
        <v>22</v>
      </c>
    </row>
    <row r="20" spans="1:21" s="1" customFormat="1">
      <c r="A20" s="5" t="s">
        <v>66</v>
      </c>
      <c r="B20" s="1">
        <v>1883</v>
      </c>
      <c r="C20" s="1" t="s">
        <v>20</v>
      </c>
      <c r="D20" s="1">
        <v>16</v>
      </c>
      <c r="E20" s="5">
        <v>30.38</v>
      </c>
      <c r="F20" s="6">
        <v>30.43</v>
      </c>
      <c r="G20" s="1">
        <v>55.9</v>
      </c>
      <c r="H20" s="1">
        <v>52.1</v>
      </c>
      <c r="I20" s="1">
        <v>45.5</v>
      </c>
      <c r="J20" s="6">
        <v>67.2</v>
      </c>
      <c r="K20" s="5">
        <v>0.30399999999999999</v>
      </c>
      <c r="L20" s="6">
        <v>0.26300000000000001</v>
      </c>
      <c r="M20" s="1">
        <v>69</v>
      </c>
      <c r="N20" s="6">
        <v>69</v>
      </c>
      <c r="O20" s="1" t="s">
        <v>35</v>
      </c>
      <c r="P20" s="1">
        <v>3</v>
      </c>
      <c r="Q20" s="1" t="s">
        <v>25</v>
      </c>
      <c r="R20" s="6">
        <v>1</v>
      </c>
      <c r="S20" s="1">
        <v>3</v>
      </c>
      <c r="T20" s="1">
        <v>0</v>
      </c>
      <c r="U20" s="12" t="s">
        <v>22</v>
      </c>
    </row>
    <row r="21" spans="1:21" s="1" customFormat="1">
      <c r="A21" s="5" t="s">
        <v>66</v>
      </c>
      <c r="B21" s="1">
        <v>1883</v>
      </c>
      <c r="C21" s="1" t="s">
        <v>20</v>
      </c>
      <c r="D21" s="1">
        <v>17</v>
      </c>
      <c r="E21" s="5">
        <v>30.42</v>
      </c>
      <c r="F21" s="6">
        <v>30.38</v>
      </c>
      <c r="G21" s="1">
        <v>54.3</v>
      </c>
      <c r="H21" s="1">
        <v>48.9</v>
      </c>
      <c r="I21" s="1">
        <v>41</v>
      </c>
      <c r="J21" s="6">
        <v>68.900000000000006</v>
      </c>
      <c r="K21" s="5">
        <v>0.35699999999999998</v>
      </c>
      <c r="L21" s="6">
        <v>0.27400000000000002</v>
      </c>
      <c r="M21" s="1">
        <v>85</v>
      </c>
      <c r="N21" s="6">
        <v>79</v>
      </c>
      <c r="O21" s="1" t="s">
        <v>27</v>
      </c>
      <c r="P21" s="1">
        <v>1</v>
      </c>
      <c r="Q21" s="1" t="s">
        <v>36</v>
      </c>
      <c r="R21" s="6">
        <v>1</v>
      </c>
      <c r="S21" s="1">
        <v>8</v>
      </c>
      <c r="T21" s="1">
        <v>3</v>
      </c>
      <c r="U21" s="12" t="s">
        <v>22</v>
      </c>
    </row>
    <row r="22" spans="1:21" s="1" customFormat="1">
      <c r="A22" s="5" t="s">
        <v>66</v>
      </c>
      <c r="B22" s="1">
        <v>1883</v>
      </c>
      <c r="C22" s="1" t="s">
        <v>20</v>
      </c>
      <c r="D22" s="1">
        <v>18</v>
      </c>
      <c r="E22" s="5">
        <v>30.34</v>
      </c>
      <c r="F22" s="6">
        <v>30.16</v>
      </c>
      <c r="G22" s="1">
        <v>53.9</v>
      </c>
      <c r="H22" s="1">
        <v>46.8</v>
      </c>
      <c r="I22" s="1">
        <v>41.5</v>
      </c>
      <c r="J22" s="6">
        <v>61.1</v>
      </c>
      <c r="K22" s="5">
        <v>0.218</v>
      </c>
      <c r="L22" s="6">
        <v>0.26900000000000002</v>
      </c>
      <c r="M22" s="1">
        <v>52</v>
      </c>
      <c r="N22" s="6">
        <v>84</v>
      </c>
      <c r="O22" s="1" t="s">
        <v>28</v>
      </c>
      <c r="P22" s="1">
        <v>3</v>
      </c>
      <c r="Q22" s="1" t="s">
        <v>34</v>
      </c>
      <c r="R22" s="6">
        <v>2</v>
      </c>
      <c r="S22" s="1">
        <v>6</v>
      </c>
      <c r="T22" s="1">
        <v>5</v>
      </c>
      <c r="U22" s="12" t="s">
        <v>22</v>
      </c>
    </row>
    <row r="23" spans="1:21" s="1" customFormat="1">
      <c r="A23" s="5" t="s">
        <v>66</v>
      </c>
      <c r="B23" s="1">
        <v>1883</v>
      </c>
      <c r="C23" s="1" t="s">
        <v>20</v>
      </c>
      <c r="D23" s="1">
        <v>19</v>
      </c>
      <c r="E23" s="5">
        <v>30.08</v>
      </c>
      <c r="F23" s="6">
        <v>30.08</v>
      </c>
      <c r="G23" s="1">
        <v>49.9</v>
      </c>
      <c r="H23" s="1">
        <v>48.4</v>
      </c>
      <c r="I23" s="1">
        <v>45</v>
      </c>
      <c r="J23" s="6">
        <v>55.6</v>
      </c>
      <c r="K23" s="5">
        <v>0.28499999999999998</v>
      </c>
      <c r="L23" s="6">
        <v>0.30299999999999999</v>
      </c>
      <c r="M23" s="1">
        <v>80</v>
      </c>
      <c r="N23" s="6">
        <v>89</v>
      </c>
      <c r="O23" s="1" t="s">
        <v>28</v>
      </c>
      <c r="P23" s="1">
        <v>2</v>
      </c>
      <c r="Q23" s="1" t="s">
        <v>27</v>
      </c>
      <c r="R23" s="6">
        <v>1</v>
      </c>
      <c r="S23" s="1">
        <v>8</v>
      </c>
      <c r="T23" s="1">
        <v>8</v>
      </c>
      <c r="U23" s="12">
        <v>1.2E-2</v>
      </c>
    </row>
    <row r="24" spans="1:21" s="1" customFormat="1">
      <c r="A24" s="5" t="s">
        <v>66</v>
      </c>
      <c r="B24" s="1">
        <v>1883</v>
      </c>
      <c r="C24" s="1" t="s">
        <v>20</v>
      </c>
      <c r="D24" s="1">
        <v>20</v>
      </c>
      <c r="E24" s="5">
        <v>30.03</v>
      </c>
      <c r="F24" s="6">
        <v>30.09</v>
      </c>
      <c r="G24" s="1">
        <v>51.9</v>
      </c>
      <c r="H24" s="1">
        <v>50.9</v>
      </c>
      <c r="I24" s="1">
        <v>48</v>
      </c>
      <c r="J24" s="6">
        <v>55.1</v>
      </c>
      <c r="K24" s="5">
        <v>0.36199999999999999</v>
      </c>
      <c r="L24" s="6">
        <v>0.373</v>
      </c>
      <c r="M24" s="1">
        <v>94</v>
      </c>
      <c r="N24" s="6">
        <v>100</v>
      </c>
      <c r="O24" s="1" t="s">
        <v>26</v>
      </c>
      <c r="P24" s="1">
        <v>3</v>
      </c>
      <c r="Q24" s="1" t="s">
        <v>27</v>
      </c>
      <c r="R24" s="6">
        <v>1</v>
      </c>
      <c r="S24" s="1">
        <v>9</v>
      </c>
      <c r="T24" s="1">
        <v>10</v>
      </c>
      <c r="U24" s="12">
        <v>0.109</v>
      </c>
    </row>
    <row r="25" spans="1:21" s="1" customFormat="1">
      <c r="A25" s="5" t="s">
        <v>66</v>
      </c>
      <c r="B25" s="1">
        <v>1883</v>
      </c>
      <c r="C25" s="1" t="s">
        <v>20</v>
      </c>
      <c r="D25" s="1">
        <v>21</v>
      </c>
      <c r="E25" s="5">
        <v>30.17</v>
      </c>
      <c r="F25" s="6">
        <v>30.18</v>
      </c>
      <c r="G25" s="1">
        <v>54.9</v>
      </c>
      <c r="H25" s="1">
        <v>56.2</v>
      </c>
      <c r="I25" s="1">
        <v>49</v>
      </c>
      <c r="J25" s="6">
        <v>60.2</v>
      </c>
      <c r="K25" s="5">
        <v>0.38400000000000001</v>
      </c>
      <c r="L25" s="6">
        <v>0.38600000000000001</v>
      </c>
      <c r="M25" s="1">
        <v>90</v>
      </c>
      <c r="N25" s="6">
        <v>86</v>
      </c>
      <c r="O25" s="1" t="s">
        <v>23</v>
      </c>
      <c r="P25" s="1">
        <v>1</v>
      </c>
      <c r="Q25" s="1" t="s">
        <v>34</v>
      </c>
      <c r="R25" s="6">
        <v>1</v>
      </c>
      <c r="S25" s="1">
        <v>8</v>
      </c>
      <c r="T25" s="1">
        <v>7</v>
      </c>
      <c r="U25" s="12">
        <v>8.0000000000000002E-3</v>
      </c>
    </row>
    <row r="26" spans="1:21" s="1" customFormat="1">
      <c r="A26" s="5" t="s">
        <v>66</v>
      </c>
      <c r="B26" s="1">
        <v>1883</v>
      </c>
      <c r="C26" s="1" t="s">
        <v>20</v>
      </c>
      <c r="D26" s="1">
        <v>22</v>
      </c>
      <c r="E26" s="5">
        <v>30.15</v>
      </c>
      <c r="F26" s="6">
        <v>30.15</v>
      </c>
      <c r="G26" s="1">
        <v>60</v>
      </c>
      <c r="H26" s="1">
        <v>53.9</v>
      </c>
      <c r="I26" s="1">
        <v>46</v>
      </c>
      <c r="J26" s="6">
        <v>72.400000000000006</v>
      </c>
      <c r="K26" s="5">
        <v>0.36899999999999999</v>
      </c>
      <c r="L26" s="6">
        <v>0.36199999999999999</v>
      </c>
      <c r="M26" s="1">
        <v>71</v>
      </c>
      <c r="N26" s="6">
        <v>87</v>
      </c>
      <c r="O26" s="1" t="s">
        <v>43</v>
      </c>
      <c r="P26" s="1">
        <v>4</v>
      </c>
      <c r="Q26" s="1" t="s">
        <v>26</v>
      </c>
      <c r="R26" s="6">
        <v>1</v>
      </c>
      <c r="S26" s="1">
        <v>3</v>
      </c>
      <c r="T26" s="1">
        <v>0</v>
      </c>
      <c r="U26" s="12" t="s">
        <v>22</v>
      </c>
    </row>
    <row r="27" spans="1:21" s="1" customFormat="1">
      <c r="A27" s="5" t="s">
        <v>66</v>
      </c>
      <c r="B27" s="1">
        <v>1883</v>
      </c>
      <c r="C27" s="1" t="s">
        <v>20</v>
      </c>
      <c r="D27" s="1">
        <v>23</v>
      </c>
      <c r="E27" s="5">
        <v>30.15</v>
      </c>
      <c r="F27" s="6">
        <v>30.14</v>
      </c>
      <c r="G27" s="1">
        <v>56.9</v>
      </c>
      <c r="H27" s="1">
        <v>53.4</v>
      </c>
      <c r="I27" s="1">
        <v>45.2</v>
      </c>
      <c r="J27" s="6">
        <v>70.900000000000006</v>
      </c>
      <c r="K27" s="5">
        <v>0.34499999999999997</v>
      </c>
      <c r="L27" s="6">
        <v>0.36899999999999999</v>
      </c>
      <c r="M27" s="1">
        <v>75</v>
      </c>
      <c r="N27" s="6">
        <v>90</v>
      </c>
      <c r="O27" s="1" t="s">
        <v>25</v>
      </c>
      <c r="P27" s="1">
        <v>2</v>
      </c>
      <c r="Q27" s="1" t="s">
        <v>34</v>
      </c>
      <c r="R27" s="6">
        <v>1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66</v>
      </c>
      <c r="B28" s="1">
        <v>1883</v>
      </c>
      <c r="C28" s="1" t="s">
        <v>20</v>
      </c>
      <c r="D28" s="1">
        <v>24</v>
      </c>
      <c r="E28" s="5">
        <v>30.09</v>
      </c>
      <c r="F28" s="6">
        <v>30.03</v>
      </c>
      <c r="G28" s="1">
        <v>61</v>
      </c>
      <c r="H28" s="1">
        <v>53.9</v>
      </c>
      <c r="I28" s="1">
        <v>41.3</v>
      </c>
      <c r="J28" s="6">
        <v>68.099999999999994</v>
      </c>
      <c r="K28" s="5">
        <v>0.34399999999999997</v>
      </c>
      <c r="L28" s="6">
        <v>0.33</v>
      </c>
      <c r="M28" s="1">
        <v>64</v>
      </c>
      <c r="N28" s="6">
        <v>79</v>
      </c>
      <c r="O28" s="1" t="s">
        <v>27</v>
      </c>
      <c r="P28" s="1">
        <v>4</v>
      </c>
      <c r="Q28" s="1" t="s">
        <v>27</v>
      </c>
      <c r="R28" s="6">
        <v>3</v>
      </c>
      <c r="S28" s="1">
        <v>0</v>
      </c>
      <c r="T28" s="1">
        <v>5</v>
      </c>
      <c r="U28" s="12" t="s">
        <v>22</v>
      </c>
    </row>
    <row r="29" spans="1:21" s="1" customFormat="1">
      <c r="A29" s="5" t="s">
        <v>66</v>
      </c>
      <c r="B29" s="1">
        <v>1883</v>
      </c>
      <c r="C29" s="1" t="s">
        <v>20</v>
      </c>
      <c r="D29" s="1">
        <v>25</v>
      </c>
      <c r="E29" s="5">
        <v>29.92</v>
      </c>
      <c r="F29" s="6">
        <v>29.74</v>
      </c>
      <c r="G29" s="1">
        <v>60</v>
      </c>
      <c r="H29" s="1">
        <v>52.6</v>
      </c>
      <c r="I29" s="1">
        <v>44</v>
      </c>
      <c r="J29" s="6">
        <v>70.400000000000006</v>
      </c>
      <c r="K29" s="5">
        <v>0.45900000000000002</v>
      </c>
      <c r="L29" s="6">
        <v>0.32800000000000001</v>
      </c>
      <c r="M29" s="1">
        <v>89</v>
      </c>
      <c r="N29" s="6">
        <v>82</v>
      </c>
      <c r="O29" s="1" t="s">
        <v>39</v>
      </c>
      <c r="P29" s="1">
        <v>2</v>
      </c>
      <c r="Q29" s="1" t="s">
        <v>26</v>
      </c>
      <c r="R29" s="6">
        <v>1</v>
      </c>
      <c r="S29" s="1">
        <v>6</v>
      </c>
      <c r="T29" s="1">
        <v>7</v>
      </c>
      <c r="U29" s="12">
        <v>0.38</v>
      </c>
    </row>
    <row r="30" spans="1:21" s="1" customFormat="1">
      <c r="A30" s="5" t="s">
        <v>66</v>
      </c>
      <c r="B30" s="1">
        <v>1883</v>
      </c>
      <c r="C30" s="1" t="s">
        <v>20</v>
      </c>
      <c r="D30" s="1">
        <v>26</v>
      </c>
      <c r="E30" s="5">
        <v>29.65</v>
      </c>
      <c r="F30" s="6">
        <v>29.85</v>
      </c>
      <c r="G30" s="1">
        <v>54.9</v>
      </c>
      <c r="H30" s="1">
        <v>42.8</v>
      </c>
      <c r="I30" s="1">
        <v>42</v>
      </c>
      <c r="J30" s="6">
        <v>56.9</v>
      </c>
      <c r="K30" s="5">
        <v>0.375</v>
      </c>
      <c r="L30" s="6">
        <v>0.19700000000000001</v>
      </c>
      <c r="M30" s="1">
        <v>88</v>
      </c>
      <c r="N30" s="6">
        <v>71</v>
      </c>
      <c r="O30" s="1" t="s">
        <v>27</v>
      </c>
      <c r="P30" s="1">
        <v>2</v>
      </c>
      <c r="Q30" s="1" t="s">
        <v>26</v>
      </c>
      <c r="R30" s="6">
        <v>1</v>
      </c>
      <c r="S30" s="1">
        <v>7</v>
      </c>
      <c r="T30" s="1">
        <v>3</v>
      </c>
      <c r="U30" s="12" t="s">
        <v>22</v>
      </c>
    </row>
    <row r="31" spans="1:21" s="1" customFormat="1">
      <c r="A31" s="5" t="s">
        <v>66</v>
      </c>
      <c r="B31" s="1">
        <v>1883</v>
      </c>
      <c r="C31" s="1" t="s">
        <v>20</v>
      </c>
      <c r="D31" s="1">
        <v>27</v>
      </c>
      <c r="E31" s="5">
        <v>30</v>
      </c>
      <c r="F31" s="6">
        <v>30.04</v>
      </c>
      <c r="G31" s="1">
        <v>53.6</v>
      </c>
      <c r="H31" s="1">
        <v>48.9</v>
      </c>
      <c r="I31" s="1">
        <v>36.299999999999997</v>
      </c>
      <c r="J31" s="6">
        <v>60.3</v>
      </c>
      <c r="K31" s="5">
        <v>0.24399999999999999</v>
      </c>
      <c r="L31" s="6">
        <v>0.253</v>
      </c>
      <c r="M31" s="1">
        <v>59</v>
      </c>
      <c r="N31" s="6">
        <v>73</v>
      </c>
      <c r="O31" s="1" t="s">
        <v>26</v>
      </c>
      <c r="P31" s="1">
        <v>2</v>
      </c>
      <c r="Q31" s="1" t="s">
        <v>26</v>
      </c>
      <c r="R31" s="6">
        <v>4</v>
      </c>
      <c r="S31" s="1">
        <v>2</v>
      </c>
      <c r="T31" s="1">
        <v>2</v>
      </c>
      <c r="U31" s="12" t="s">
        <v>22</v>
      </c>
    </row>
    <row r="32" spans="1:21" s="1" customFormat="1">
      <c r="A32" s="5" t="s">
        <v>66</v>
      </c>
      <c r="B32" s="1">
        <v>1883</v>
      </c>
      <c r="C32" s="1" t="s">
        <v>20</v>
      </c>
      <c r="D32" s="1">
        <v>28</v>
      </c>
      <c r="E32" s="5">
        <v>29.96</v>
      </c>
      <c r="F32" s="6">
        <v>29.93</v>
      </c>
      <c r="G32" s="1">
        <v>55.9</v>
      </c>
      <c r="H32" s="1">
        <v>55.9</v>
      </c>
      <c r="I32" s="1">
        <v>45.5</v>
      </c>
      <c r="J32" s="6">
        <v>61.1</v>
      </c>
      <c r="K32" s="5">
        <v>0.33100000000000002</v>
      </c>
      <c r="L32" s="6">
        <v>0.33100000000000002</v>
      </c>
      <c r="M32" s="1">
        <v>75</v>
      </c>
      <c r="N32" s="6">
        <v>75</v>
      </c>
      <c r="O32" s="1" t="s">
        <v>39</v>
      </c>
      <c r="P32" s="1">
        <v>6</v>
      </c>
      <c r="Q32" s="1" t="s">
        <v>29</v>
      </c>
      <c r="R32" s="6">
        <v>2</v>
      </c>
      <c r="S32" s="1">
        <v>7</v>
      </c>
      <c r="T32" s="1">
        <v>8</v>
      </c>
      <c r="U32" s="12">
        <v>0.13</v>
      </c>
    </row>
    <row r="33" spans="1:21" s="1" customFormat="1">
      <c r="A33" s="5" t="s">
        <v>66</v>
      </c>
      <c r="B33" s="1">
        <v>1883</v>
      </c>
      <c r="C33" s="1" t="s">
        <v>20</v>
      </c>
      <c r="D33" s="1">
        <v>29</v>
      </c>
      <c r="E33" s="5">
        <v>29.93</v>
      </c>
      <c r="F33" s="6">
        <v>30.1</v>
      </c>
      <c r="G33" s="1">
        <v>54.3</v>
      </c>
      <c r="H33" s="1">
        <v>48.6</v>
      </c>
      <c r="I33" s="1">
        <v>44.5</v>
      </c>
      <c r="J33" s="6">
        <v>61.8</v>
      </c>
      <c r="K33" s="5">
        <v>0.316</v>
      </c>
      <c r="L33" s="6">
        <v>0.27600000000000002</v>
      </c>
      <c r="M33" s="1">
        <v>75</v>
      </c>
      <c r="N33" s="6">
        <v>81</v>
      </c>
      <c r="O33" s="1" t="s">
        <v>25</v>
      </c>
      <c r="P33" s="1">
        <v>3</v>
      </c>
      <c r="Q33" s="1" t="s">
        <v>26</v>
      </c>
      <c r="R33" s="6">
        <v>3</v>
      </c>
      <c r="S33" s="1">
        <v>6</v>
      </c>
      <c r="T33" s="1">
        <v>3</v>
      </c>
      <c r="U33" s="12" t="s">
        <v>22</v>
      </c>
    </row>
    <row r="34" spans="1:21" s="1" customFormat="1">
      <c r="A34" s="5" t="s">
        <v>66</v>
      </c>
      <c r="B34" s="1">
        <v>1883</v>
      </c>
      <c r="C34" s="1" t="s">
        <v>20</v>
      </c>
      <c r="D34" s="1">
        <v>30</v>
      </c>
      <c r="E34" s="5">
        <v>30.19</v>
      </c>
      <c r="F34" s="6">
        <v>30.24</v>
      </c>
      <c r="G34" s="1">
        <v>55.4</v>
      </c>
      <c r="H34" s="1">
        <v>48.9</v>
      </c>
      <c r="I34" s="1">
        <v>45</v>
      </c>
      <c r="J34" s="6">
        <v>63.9</v>
      </c>
      <c r="K34" s="5">
        <v>0.34399999999999997</v>
      </c>
      <c r="L34" s="6">
        <v>0.27900000000000003</v>
      </c>
      <c r="M34" s="1">
        <v>79</v>
      </c>
      <c r="N34" s="6">
        <v>81</v>
      </c>
      <c r="O34" s="1" t="s">
        <v>26</v>
      </c>
      <c r="P34" s="1">
        <v>1</v>
      </c>
      <c r="Q34" s="1" t="s">
        <v>43</v>
      </c>
      <c r="R34" s="6">
        <v>1</v>
      </c>
      <c r="S34" s="1">
        <v>7</v>
      </c>
      <c r="T34" s="1">
        <v>5</v>
      </c>
      <c r="U34" s="12" t="s">
        <v>22</v>
      </c>
    </row>
    <row r="35" spans="1:21" s="1" customFormat="1">
      <c r="A35" s="5" t="s">
        <v>66</v>
      </c>
      <c r="B35" s="1">
        <v>1883</v>
      </c>
      <c r="C35" s="1" t="s">
        <v>20</v>
      </c>
      <c r="D35" s="8">
        <v>31</v>
      </c>
      <c r="E35" s="7">
        <v>30.18</v>
      </c>
      <c r="F35" s="9">
        <v>30.08</v>
      </c>
      <c r="G35" s="8">
        <v>55.9</v>
      </c>
      <c r="H35" s="8">
        <v>53.9</v>
      </c>
      <c r="I35" s="8">
        <v>42</v>
      </c>
      <c r="J35" s="9">
        <v>63.2</v>
      </c>
      <c r="K35" s="7">
        <v>0.33900000000000002</v>
      </c>
      <c r="L35" s="9">
        <v>0.34399999999999997</v>
      </c>
      <c r="M35" s="8">
        <v>76</v>
      </c>
      <c r="N35" s="9">
        <v>83</v>
      </c>
      <c r="O35" s="8" t="s">
        <v>38</v>
      </c>
      <c r="P35" s="8">
        <v>3</v>
      </c>
      <c r="Q35" s="8" t="s">
        <v>29</v>
      </c>
      <c r="R35" s="9">
        <v>1</v>
      </c>
      <c r="S35" s="8">
        <v>8</v>
      </c>
      <c r="T35" s="8">
        <v>5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29.969000000000001</v>
      </c>
      <c r="F36" s="16">
        <v>29.994</v>
      </c>
      <c r="G36" s="14">
        <v>51.4</v>
      </c>
      <c r="H36" s="15">
        <v>47.4</v>
      </c>
      <c r="I36" s="15">
        <v>40.799999999999997</v>
      </c>
      <c r="J36" s="16">
        <v>58</v>
      </c>
      <c r="K36" s="15">
        <v>0.29799999999999999</v>
      </c>
      <c r="L36" s="15">
        <v>0.27900000000000003</v>
      </c>
      <c r="M36" s="14">
        <v>77.599999999999994</v>
      </c>
      <c r="N36" s="16">
        <v>83.8</v>
      </c>
      <c r="O36" s="14" t="s">
        <v>22</v>
      </c>
      <c r="P36" s="15">
        <v>2.8</v>
      </c>
      <c r="Q36" s="15" t="s">
        <v>22</v>
      </c>
      <c r="R36" s="16">
        <v>2.1</v>
      </c>
      <c r="S36" s="14">
        <v>6.4</v>
      </c>
      <c r="T36" s="16">
        <v>5.6</v>
      </c>
      <c r="U36" s="17">
        <v>1.5760000000000001</v>
      </c>
    </row>
    <row r="37" spans="1:21">
      <c r="F37">
        <f>SUM(F5:F35)/31</f>
        <v>29.994838709677417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E22" workbookViewId="0">
      <selection activeCell="L38" sqref="L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67</v>
      </c>
      <c r="B5" s="1">
        <v>1883</v>
      </c>
      <c r="C5" s="1" t="s">
        <v>20</v>
      </c>
      <c r="D5" s="1">
        <v>1</v>
      </c>
      <c r="E5" s="5">
        <v>29.78</v>
      </c>
      <c r="F5" s="6">
        <v>29.85</v>
      </c>
      <c r="G5" s="1">
        <v>53</v>
      </c>
      <c r="H5" s="1">
        <v>42.3</v>
      </c>
      <c r="I5" s="1">
        <v>41.8</v>
      </c>
      <c r="J5" s="6">
        <v>57.5</v>
      </c>
      <c r="K5" s="5">
        <v>0.29699999999999999</v>
      </c>
      <c r="L5" s="6">
        <v>0.24399999999999999</v>
      </c>
      <c r="M5" s="1">
        <v>74</v>
      </c>
      <c r="N5" s="6">
        <v>91</v>
      </c>
      <c r="O5" s="1" t="s">
        <v>42</v>
      </c>
      <c r="P5" s="1">
        <v>1</v>
      </c>
      <c r="Q5" s="1" t="s">
        <v>35</v>
      </c>
      <c r="R5" s="6">
        <v>3</v>
      </c>
      <c r="S5" s="1">
        <v>2</v>
      </c>
      <c r="T5" s="1">
        <v>10</v>
      </c>
      <c r="U5" s="12" t="s">
        <v>22</v>
      </c>
    </row>
    <row r="6" spans="1:21" s="1" customFormat="1">
      <c r="A6" s="5" t="s">
        <v>67</v>
      </c>
      <c r="B6" s="1">
        <v>1883</v>
      </c>
      <c r="C6" s="1" t="s">
        <v>20</v>
      </c>
      <c r="D6" s="1">
        <v>2</v>
      </c>
      <c r="E6" s="5">
        <v>29.86</v>
      </c>
      <c r="F6" s="6">
        <v>29.86</v>
      </c>
      <c r="G6" s="1">
        <v>43.3</v>
      </c>
      <c r="H6" s="1">
        <v>40.1</v>
      </c>
      <c r="I6" s="1">
        <v>39.9</v>
      </c>
      <c r="J6" s="6">
        <v>48.5</v>
      </c>
      <c r="K6" s="5">
        <v>0.214</v>
      </c>
      <c r="L6" s="6">
        <v>0.22500000000000001</v>
      </c>
      <c r="M6" s="1">
        <v>77</v>
      </c>
      <c r="N6" s="6">
        <v>91</v>
      </c>
      <c r="O6" s="1" t="s">
        <v>28</v>
      </c>
      <c r="P6" s="1">
        <v>2</v>
      </c>
      <c r="Q6" s="1" t="s">
        <v>34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67</v>
      </c>
      <c r="B7" s="1">
        <v>1883</v>
      </c>
      <c r="C7" s="1" t="s">
        <v>20</v>
      </c>
      <c r="D7" s="1">
        <v>3</v>
      </c>
      <c r="E7" s="5">
        <v>29.8</v>
      </c>
      <c r="F7" s="6">
        <v>29.84</v>
      </c>
      <c r="G7" s="1">
        <v>46.9</v>
      </c>
      <c r="H7" s="1">
        <v>36.299999999999997</v>
      </c>
      <c r="I7" s="1">
        <v>35.799999999999997</v>
      </c>
      <c r="J7" s="6">
        <v>46.9</v>
      </c>
      <c r="K7" s="5">
        <v>0.23200000000000001</v>
      </c>
      <c r="L7" s="6">
        <v>0.19400000000000001</v>
      </c>
      <c r="M7" s="1">
        <v>73</v>
      </c>
      <c r="N7" s="6">
        <v>91</v>
      </c>
      <c r="O7" s="1" t="s">
        <v>34</v>
      </c>
      <c r="P7" s="1">
        <v>1</v>
      </c>
      <c r="Q7" s="1" t="s">
        <v>28</v>
      </c>
      <c r="R7" s="6">
        <v>1</v>
      </c>
      <c r="S7" s="1">
        <v>9</v>
      </c>
      <c r="T7" s="1">
        <v>1</v>
      </c>
      <c r="U7" s="12">
        <v>7.0000000000000007E-2</v>
      </c>
    </row>
    <row r="8" spans="1:21" s="1" customFormat="1">
      <c r="A8" s="5" t="s">
        <v>67</v>
      </c>
      <c r="B8" s="1">
        <v>1883</v>
      </c>
      <c r="C8" s="1" t="s">
        <v>20</v>
      </c>
      <c r="D8" s="1">
        <v>4</v>
      </c>
      <c r="E8" s="5">
        <v>29.82</v>
      </c>
      <c r="F8" s="6">
        <v>29.86</v>
      </c>
      <c r="G8" s="1">
        <v>43.9</v>
      </c>
      <c r="H8" s="1">
        <v>36.1</v>
      </c>
      <c r="I8" s="1">
        <v>31.1</v>
      </c>
      <c r="J8" s="6">
        <v>45.9</v>
      </c>
      <c r="K8" s="5">
        <v>0.193</v>
      </c>
      <c r="L8" s="6">
        <v>0.192</v>
      </c>
      <c r="M8" s="1">
        <v>67</v>
      </c>
      <c r="N8" s="6">
        <v>90</v>
      </c>
      <c r="O8" s="1" t="s">
        <v>28</v>
      </c>
      <c r="P8" s="1">
        <v>1</v>
      </c>
      <c r="Q8" s="1" t="s">
        <v>28</v>
      </c>
      <c r="R8" s="6">
        <v>1</v>
      </c>
      <c r="S8" s="1">
        <v>8</v>
      </c>
      <c r="T8" s="1">
        <v>2</v>
      </c>
      <c r="U8" s="12">
        <v>0.19</v>
      </c>
    </row>
    <row r="9" spans="1:21" s="1" customFormat="1">
      <c r="A9" s="5" t="s">
        <v>67</v>
      </c>
      <c r="B9" s="1">
        <v>1883</v>
      </c>
      <c r="C9" s="1" t="s">
        <v>20</v>
      </c>
      <c r="D9" s="1">
        <v>5</v>
      </c>
      <c r="E9" s="5">
        <v>29.83</v>
      </c>
      <c r="F9" s="6">
        <v>29.86</v>
      </c>
      <c r="G9" s="1">
        <v>46.9</v>
      </c>
      <c r="H9" s="1">
        <v>43.9</v>
      </c>
      <c r="I9" s="1">
        <v>32.9</v>
      </c>
      <c r="J9" s="6">
        <v>50.1</v>
      </c>
      <c r="K9" s="5">
        <v>0.25800000000000001</v>
      </c>
      <c r="L9" s="6">
        <v>0.26600000000000001</v>
      </c>
      <c r="M9" s="1">
        <v>81</v>
      </c>
      <c r="N9" s="6">
        <v>93</v>
      </c>
      <c r="O9" s="1" t="s">
        <v>35</v>
      </c>
      <c r="P9" s="1">
        <v>1</v>
      </c>
      <c r="Q9" s="1" t="s">
        <v>28</v>
      </c>
      <c r="R9" s="6">
        <v>1</v>
      </c>
      <c r="S9" s="1">
        <v>9</v>
      </c>
      <c r="T9" s="1">
        <v>9</v>
      </c>
      <c r="U9" s="12" t="s">
        <v>22</v>
      </c>
    </row>
    <row r="10" spans="1:21" s="1" customFormat="1">
      <c r="A10" s="5" t="s">
        <v>67</v>
      </c>
      <c r="B10" s="1">
        <v>1883</v>
      </c>
      <c r="C10" s="1" t="s">
        <v>20</v>
      </c>
      <c r="D10" s="1">
        <v>6</v>
      </c>
      <c r="E10" s="5">
        <v>29.91</v>
      </c>
      <c r="F10" s="6">
        <v>29.89</v>
      </c>
      <c r="G10" s="1">
        <v>51.1</v>
      </c>
      <c r="H10" s="1">
        <v>44</v>
      </c>
      <c r="I10" s="1">
        <v>43.2</v>
      </c>
      <c r="J10" s="6">
        <v>54.2</v>
      </c>
      <c r="K10" s="5">
        <v>0.317</v>
      </c>
      <c r="L10" s="6">
        <v>0.27200000000000002</v>
      </c>
      <c r="M10" s="1">
        <v>84</v>
      </c>
      <c r="N10" s="6">
        <v>94</v>
      </c>
      <c r="O10" s="1" t="s">
        <v>24</v>
      </c>
      <c r="P10" s="1">
        <v>3</v>
      </c>
      <c r="Q10" s="1" t="s">
        <v>35</v>
      </c>
      <c r="R10" s="6">
        <v>1</v>
      </c>
      <c r="S10" s="1">
        <v>9</v>
      </c>
      <c r="T10" s="1">
        <v>1</v>
      </c>
      <c r="U10" s="12" t="s">
        <v>22</v>
      </c>
    </row>
    <row r="11" spans="1:21" s="1" customFormat="1">
      <c r="A11" s="5" t="s">
        <v>67</v>
      </c>
      <c r="B11" s="1">
        <v>1883</v>
      </c>
      <c r="C11" s="1" t="s">
        <v>20</v>
      </c>
      <c r="D11" s="1">
        <v>7</v>
      </c>
      <c r="E11" s="5">
        <v>29.73</v>
      </c>
      <c r="F11" s="6">
        <v>29.64</v>
      </c>
      <c r="G11" s="1">
        <v>52.9</v>
      </c>
      <c r="H11" s="1">
        <v>49.1</v>
      </c>
      <c r="I11" s="1">
        <v>42.9</v>
      </c>
      <c r="J11" s="6">
        <v>57.7</v>
      </c>
      <c r="K11" s="5">
        <v>0.308</v>
      </c>
      <c r="L11" s="6">
        <v>0.32100000000000001</v>
      </c>
      <c r="M11" s="1">
        <v>77</v>
      </c>
      <c r="N11" s="6">
        <v>92</v>
      </c>
      <c r="O11" s="1" t="s">
        <v>23</v>
      </c>
      <c r="P11" s="1">
        <v>2</v>
      </c>
      <c r="Q11" s="1" t="s">
        <v>43</v>
      </c>
      <c r="R11" s="6">
        <v>1</v>
      </c>
      <c r="S11" s="1">
        <v>9</v>
      </c>
      <c r="T11" s="1">
        <v>0</v>
      </c>
      <c r="U11" s="12">
        <v>7.0000000000000007E-2</v>
      </c>
    </row>
    <row r="12" spans="1:21" s="1" customFormat="1">
      <c r="A12" s="5" t="s">
        <v>67</v>
      </c>
      <c r="B12" s="1">
        <v>1883</v>
      </c>
      <c r="C12" s="1" t="s">
        <v>20</v>
      </c>
      <c r="D12" s="1">
        <v>8</v>
      </c>
      <c r="E12" s="5">
        <v>29.61</v>
      </c>
      <c r="F12" s="6">
        <v>29.51</v>
      </c>
      <c r="G12" s="1">
        <v>46.9</v>
      </c>
      <c r="H12" s="1">
        <v>45</v>
      </c>
      <c r="I12" s="1">
        <v>40</v>
      </c>
      <c r="J12" s="6">
        <v>52.5</v>
      </c>
      <c r="K12" s="5">
        <v>0.30099999999999999</v>
      </c>
      <c r="L12" s="6">
        <v>0.29699999999999999</v>
      </c>
      <c r="M12" s="1">
        <v>95</v>
      </c>
      <c r="N12" s="6">
        <v>99</v>
      </c>
      <c r="O12" s="1" t="s">
        <v>33</v>
      </c>
      <c r="P12" s="1">
        <v>0</v>
      </c>
      <c r="Q12" s="1" t="s">
        <v>28</v>
      </c>
      <c r="R12" s="6">
        <v>1</v>
      </c>
      <c r="S12" s="1">
        <v>10</v>
      </c>
      <c r="T12" s="1">
        <v>10</v>
      </c>
      <c r="U12" s="12">
        <v>0.1</v>
      </c>
    </row>
    <row r="13" spans="1:21" s="1" customFormat="1">
      <c r="A13" s="5" t="s">
        <v>67</v>
      </c>
      <c r="B13" s="1">
        <v>1883</v>
      </c>
      <c r="C13" s="1" t="s">
        <v>20</v>
      </c>
      <c r="D13" s="1">
        <v>9</v>
      </c>
      <c r="E13" s="5">
        <v>29.52</v>
      </c>
      <c r="F13" s="6">
        <v>29.55</v>
      </c>
      <c r="G13" s="1">
        <v>49.1</v>
      </c>
      <c r="H13" s="1">
        <v>43</v>
      </c>
      <c r="I13" s="1">
        <v>42.8</v>
      </c>
      <c r="J13" s="6">
        <v>50.6</v>
      </c>
      <c r="K13" s="5">
        <v>0.29699999999999999</v>
      </c>
      <c r="L13" s="6">
        <v>0.27300000000000002</v>
      </c>
      <c r="M13" s="1">
        <v>85</v>
      </c>
      <c r="N13" s="6">
        <v>98</v>
      </c>
      <c r="O13" s="1" t="s">
        <v>28</v>
      </c>
      <c r="P13" s="1">
        <v>1</v>
      </c>
      <c r="Q13" s="1" t="s">
        <v>26</v>
      </c>
      <c r="R13" s="6">
        <v>1</v>
      </c>
      <c r="S13" s="1">
        <v>10</v>
      </c>
      <c r="T13" s="1">
        <v>10</v>
      </c>
      <c r="U13" s="12">
        <v>0.17</v>
      </c>
    </row>
    <row r="14" spans="1:21" s="1" customFormat="1">
      <c r="A14" s="5" t="s">
        <v>67</v>
      </c>
      <c r="B14" s="1">
        <v>1883</v>
      </c>
      <c r="C14" s="1" t="s">
        <v>20</v>
      </c>
      <c r="D14" s="1">
        <v>10</v>
      </c>
      <c r="E14" s="5">
        <v>29.58</v>
      </c>
      <c r="F14" s="6">
        <v>29.69</v>
      </c>
      <c r="G14" s="1">
        <v>43.1</v>
      </c>
      <c r="H14" s="1">
        <v>40</v>
      </c>
      <c r="I14" s="1">
        <v>39.6</v>
      </c>
      <c r="J14" s="6">
        <v>50.1</v>
      </c>
      <c r="K14" s="5">
        <v>0.254</v>
      </c>
      <c r="L14" s="6">
        <v>0.22600000000000001</v>
      </c>
      <c r="M14" s="1">
        <v>91</v>
      </c>
      <c r="N14" s="6">
        <v>92</v>
      </c>
      <c r="O14" s="1" t="s">
        <v>26</v>
      </c>
      <c r="P14" s="1">
        <v>1</v>
      </c>
      <c r="Q14" s="1" t="s">
        <v>26</v>
      </c>
      <c r="R14" s="6">
        <v>1</v>
      </c>
      <c r="S14" s="1">
        <v>10</v>
      </c>
      <c r="T14" s="1">
        <v>0</v>
      </c>
      <c r="U14" s="12">
        <v>0.01</v>
      </c>
    </row>
    <row r="15" spans="1:21" s="1" customFormat="1">
      <c r="A15" s="5" t="s">
        <v>67</v>
      </c>
      <c r="B15" s="1">
        <v>1883</v>
      </c>
      <c r="C15" s="1" t="s">
        <v>20</v>
      </c>
      <c r="D15" s="1">
        <v>11</v>
      </c>
      <c r="E15" s="5">
        <v>29.81</v>
      </c>
      <c r="F15" s="6">
        <v>29.91</v>
      </c>
      <c r="G15" s="1">
        <v>46</v>
      </c>
      <c r="H15" s="1">
        <v>40.9</v>
      </c>
      <c r="I15" s="1">
        <v>34.9</v>
      </c>
      <c r="J15" s="6">
        <v>54.5</v>
      </c>
      <c r="K15" s="5">
        <v>0.214</v>
      </c>
      <c r="L15" s="6">
        <v>0.215</v>
      </c>
      <c r="M15" s="1">
        <v>69</v>
      </c>
      <c r="N15" s="6">
        <v>85</v>
      </c>
      <c r="O15" s="1" t="s">
        <v>26</v>
      </c>
      <c r="P15" s="1">
        <v>3</v>
      </c>
      <c r="Q15" s="1" t="s">
        <v>25</v>
      </c>
      <c r="R15" s="6">
        <v>1</v>
      </c>
      <c r="S15" s="1">
        <v>9</v>
      </c>
      <c r="T15" s="1">
        <v>0</v>
      </c>
      <c r="U15" s="12">
        <v>0.03</v>
      </c>
    </row>
    <row r="16" spans="1:21" s="1" customFormat="1">
      <c r="A16" s="5" t="s">
        <v>67</v>
      </c>
      <c r="B16" s="1">
        <v>1883</v>
      </c>
      <c r="C16" s="1" t="s">
        <v>20</v>
      </c>
      <c r="D16" s="1">
        <v>12</v>
      </c>
      <c r="E16" s="5">
        <v>29.81</v>
      </c>
      <c r="F16" s="6">
        <v>29.89</v>
      </c>
      <c r="G16" s="1">
        <v>50.7</v>
      </c>
      <c r="H16" s="1">
        <v>55.1</v>
      </c>
      <c r="I16" s="1">
        <v>37.9</v>
      </c>
      <c r="J16" s="6">
        <v>59.9</v>
      </c>
      <c r="K16" s="5">
        <v>0.35</v>
      </c>
      <c r="L16" s="6">
        <v>0.36899999999999999</v>
      </c>
      <c r="M16" s="1">
        <v>94</v>
      </c>
      <c r="N16" s="6">
        <v>85</v>
      </c>
      <c r="O16" s="1" t="s">
        <v>39</v>
      </c>
      <c r="P16" s="1">
        <v>1</v>
      </c>
      <c r="Q16" s="1" t="s">
        <v>43</v>
      </c>
      <c r="R16" s="6">
        <v>4</v>
      </c>
      <c r="S16" s="1">
        <v>10</v>
      </c>
      <c r="T16" s="1">
        <v>10</v>
      </c>
      <c r="U16" s="12">
        <v>0.1</v>
      </c>
    </row>
    <row r="17" spans="1:21" s="1" customFormat="1">
      <c r="A17" s="5" t="s">
        <v>67</v>
      </c>
      <c r="B17" s="1">
        <v>1883</v>
      </c>
      <c r="C17" s="1" t="s">
        <v>20</v>
      </c>
      <c r="D17" s="1">
        <v>13</v>
      </c>
      <c r="E17" s="5">
        <v>29.97</v>
      </c>
      <c r="F17" s="6">
        <v>29.93</v>
      </c>
      <c r="G17" s="1">
        <v>55</v>
      </c>
      <c r="H17" s="1">
        <v>53.1</v>
      </c>
      <c r="I17" s="1">
        <v>51.9</v>
      </c>
      <c r="J17" s="6">
        <v>68.8</v>
      </c>
      <c r="K17" s="5">
        <v>0.34699999999999998</v>
      </c>
      <c r="L17" s="6">
        <v>0.32100000000000001</v>
      </c>
      <c r="M17" s="1">
        <v>80</v>
      </c>
      <c r="N17" s="6">
        <v>79</v>
      </c>
      <c r="O17" s="1" t="s">
        <v>43</v>
      </c>
      <c r="P17" s="1">
        <v>4</v>
      </c>
      <c r="Q17" s="1" t="s">
        <v>38</v>
      </c>
      <c r="R17" s="6">
        <v>2</v>
      </c>
      <c r="S17" s="1">
        <v>10</v>
      </c>
      <c r="T17" s="1">
        <v>1</v>
      </c>
      <c r="U17" s="12" t="s">
        <v>22</v>
      </c>
    </row>
    <row r="18" spans="1:21" s="1" customFormat="1">
      <c r="A18" s="5" t="s">
        <v>67</v>
      </c>
      <c r="B18" s="1">
        <v>1883</v>
      </c>
      <c r="C18" s="1" t="s">
        <v>20</v>
      </c>
      <c r="D18" s="1">
        <v>14</v>
      </c>
      <c r="E18" s="5">
        <v>29.9</v>
      </c>
      <c r="F18" s="6">
        <v>29.96</v>
      </c>
      <c r="G18" s="1">
        <v>62.3</v>
      </c>
      <c r="H18" s="1">
        <v>55.1</v>
      </c>
      <c r="I18" s="1">
        <v>50</v>
      </c>
      <c r="J18" s="6">
        <v>70.599999999999994</v>
      </c>
      <c r="K18" s="5">
        <v>0.39300000000000002</v>
      </c>
      <c r="L18" s="6">
        <v>0.374</v>
      </c>
      <c r="M18" s="1">
        <v>71</v>
      </c>
      <c r="N18" s="6">
        <v>86</v>
      </c>
      <c r="O18" s="1" t="s">
        <v>43</v>
      </c>
      <c r="P18" s="1">
        <v>1</v>
      </c>
      <c r="Q18" s="1" t="s">
        <v>33</v>
      </c>
      <c r="R18" s="6">
        <v>0</v>
      </c>
      <c r="S18" s="1">
        <v>9</v>
      </c>
      <c r="T18" s="1">
        <v>9</v>
      </c>
      <c r="U18" s="12">
        <v>0.18</v>
      </c>
    </row>
    <row r="19" spans="1:21" s="1" customFormat="1">
      <c r="A19" s="5" t="s">
        <v>67</v>
      </c>
      <c r="B19" s="1">
        <v>1883</v>
      </c>
      <c r="C19" s="1" t="s">
        <v>20</v>
      </c>
      <c r="D19" s="1">
        <v>15</v>
      </c>
      <c r="E19" s="5">
        <v>30.07</v>
      </c>
      <c r="F19" s="6">
        <v>30.2</v>
      </c>
      <c r="G19" s="1">
        <v>63.2</v>
      </c>
      <c r="H19" s="1">
        <v>52</v>
      </c>
      <c r="I19" s="1">
        <v>51.2</v>
      </c>
      <c r="J19" s="6">
        <v>68</v>
      </c>
      <c r="K19" s="5">
        <v>0.438</v>
      </c>
      <c r="L19" s="6">
        <v>0.36399999999999999</v>
      </c>
      <c r="M19" s="1">
        <v>76</v>
      </c>
      <c r="N19" s="6">
        <v>94</v>
      </c>
      <c r="O19" s="1" t="s">
        <v>33</v>
      </c>
      <c r="P19" s="1">
        <v>0</v>
      </c>
      <c r="Q19" s="1" t="s">
        <v>33</v>
      </c>
      <c r="R19" s="6">
        <v>0</v>
      </c>
      <c r="S19" s="1">
        <v>3</v>
      </c>
      <c r="T19" s="1">
        <v>2</v>
      </c>
      <c r="U19" s="12" t="s">
        <v>22</v>
      </c>
    </row>
    <row r="20" spans="1:21" s="1" customFormat="1">
      <c r="A20" s="5" t="s">
        <v>67</v>
      </c>
      <c r="B20" s="1">
        <v>1883</v>
      </c>
      <c r="C20" s="1" t="s">
        <v>20</v>
      </c>
      <c r="D20" s="1">
        <v>16</v>
      </c>
      <c r="E20" s="5">
        <v>30.3</v>
      </c>
      <c r="F20" s="6">
        <v>30.37</v>
      </c>
      <c r="G20" s="1">
        <v>63.2</v>
      </c>
      <c r="H20" s="1">
        <v>48.2</v>
      </c>
      <c r="I20" s="1">
        <v>47.7</v>
      </c>
      <c r="J20" s="6">
        <v>65.599999999999994</v>
      </c>
      <c r="K20" s="5">
        <v>0.435</v>
      </c>
      <c r="L20" s="6">
        <v>0.28799999999999998</v>
      </c>
      <c r="M20" s="1">
        <v>75</v>
      </c>
      <c r="N20" s="6">
        <v>86</v>
      </c>
      <c r="O20" s="1" t="s">
        <v>35</v>
      </c>
      <c r="P20" s="1">
        <v>2</v>
      </c>
      <c r="Q20" s="1" t="s">
        <v>24</v>
      </c>
      <c r="R20" s="6">
        <v>1</v>
      </c>
      <c r="S20" s="1">
        <v>2</v>
      </c>
      <c r="T20" s="1">
        <v>0</v>
      </c>
      <c r="U20" s="12" t="s">
        <v>22</v>
      </c>
    </row>
    <row r="21" spans="1:21" s="1" customFormat="1">
      <c r="A21" s="5" t="s">
        <v>67</v>
      </c>
      <c r="B21" s="1">
        <v>1883</v>
      </c>
      <c r="C21" s="1" t="s">
        <v>20</v>
      </c>
      <c r="D21" s="1">
        <v>17</v>
      </c>
      <c r="E21" s="5">
        <v>30.41</v>
      </c>
      <c r="F21" s="6">
        <v>30.31</v>
      </c>
      <c r="G21" s="1">
        <v>47.8</v>
      </c>
      <c r="H21" s="1">
        <v>46.1</v>
      </c>
      <c r="I21" s="1">
        <v>42</v>
      </c>
      <c r="J21" s="6">
        <v>57.9</v>
      </c>
      <c r="K21" s="5">
        <v>0.28799999999999998</v>
      </c>
      <c r="L21" s="6">
        <v>0.28799999999999998</v>
      </c>
      <c r="M21" s="1">
        <v>87</v>
      </c>
      <c r="N21" s="6">
        <v>93</v>
      </c>
      <c r="O21" s="1" t="s">
        <v>23</v>
      </c>
      <c r="P21" s="1">
        <v>1</v>
      </c>
      <c r="Q21" s="1" t="s">
        <v>38</v>
      </c>
      <c r="R21" s="6">
        <v>1</v>
      </c>
      <c r="S21" s="1">
        <v>9</v>
      </c>
      <c r="T21" s="1">
        <v>10</v>
      </c>
      <c r="U21" s="12" t="s">
        <v>22</v>
      </c>
    </row>
    <row r="22" spans="1:21" s="1" customFormat="1">
      <c r="A22" s="5" t="s">
        <v>67</v>
      </c>
      <c r="B22" s="1">
        <v>1883</v>
      </c>
      <c r="C22" s="1" t="s">
        <v>20</v>
      </c>
      <c r="D22" s="1">
        <v>18</v>
      </c>
      <c r="E22" s="5">
        <v>30.21</v>
      </c>
      <c r="F22" s="6">
        <v>30.05</v>
      </c>
      <c r="G22" s="1">
        <v>55.9</v>
      </c>
      <c r="H22" s="1">
        <v>52.1</v>
      </c>
      <c r="I22" s="1">
        <v>44.9</v>
      </c>
      <c r="J22" s="6">
        <v>59.7</v>
      </c>
      <c r="K22" s="5">
        <v>0.28999999999999998</v>
      </c>
      <c r="L22" s="6">
        <v>0.249</v>
      </c>
      <c r="M22" s="1">
        <v>64</v>
      </c>
      <c r="N22" s="6">
        <v>64</v>
      </c>
      <c r="O22" s="1" t="s">
        <v>26</v>
      </c>
      <c r="P22" s="1">
        <v>2</v>
      </c>
      <c r="Q22" s="1" t="s">
        <v>26</v>
      </c>
      <c r="R22" s="6">
        <v>3</v>
      </c>
      <c r="S22" s="1">
        <v>9</v>
      </c>
      <c r="T22" s="1">
        <v>10</v>
      </c>
      <c r="U22" s="12" t="s">
        <v>22</v>
      </c>
    </row>
    <row r="23" spans="1:21" s="1" customFormat="1">
      <c r="A23" s="5" t="s">
        <v>67</v>
      </c>
      <c r="B23" s="1">
        <v>1883</v>
      </c>
      <c r="C23" s="1" t="s">
        <v>20</v>
      </c>
      <c r="D23" s="1">
        <v>19</v>
      </c>
      <c r="E23" s="5">
        <v>29.95</v>
      </c>
      <c r="F23" s="6">
        <v>30</v>
      </c>
      <c r="G23" s="1">
        <v>52.9</v>
      </c>
      <c r="H23" s="1">
        <v>47.9</v>
      </c>
      <c r="I23" s="1">
        <v>47.3</v>
      </c>
      <c r="J23" s="6">
        <v>59.6</v>
      </c>
      <c r="K23" s="5">
        <v>0.3</v>
      </c>
      <c r="L23" s="6">
        <v>0.22700000000000001</v>
      </c>
      <c r="M23" s="1">
        <v>75</v>
      </c>
      <c r="N23" s="6">
        <v>69</v>
      </c>
      <c r="O23" s="1" t="s">
        <v>28</v>
      </c>
      <c r="P23" s="1">
        <v>2</v>
      </c>
      <c r="Q23" s="1" t="s">
        <v>34</v>
      </c>
      <c r="R23" s="6">
        <v>1</v>
      </c>
      <c r="S23" s="1">
        <v>9</v>
      </c>
      <c r="T23" s="1">
        <v>10</v>
      </c>
      <c r="U23" s="12" t="s">
        <v>22</v>
      </c>
    </row>
    <row r="24" spans="1:21" s="1" customFormat="1">
      <c r="A24" s="5" t="s">
        <v>67</v>
      </c>
      <c r="B24" s="1">
        <v>1883</v>
      </c>
      <c r="C24" s="1" t="s">
        <v>20</v>
      </c>
      <c r="D24" s="1">
        <v>20</v>
      </c>
      <c r="E24" s="5">
        <v>30.04</v>
      </c>
      <c r="F24" s="6">
        <v>30.13</v>
      </c>
      <c r="G24" s="1">
        <v>51.9</v>
      </c>
      <c r="H24" s="1">
        <v>42</v>
      </c>
      <c r="I24" s="1">
        <v>41.7</v>
      </c>
      <c r="J24" s="6">
        <v>56.6</v>
      </c>
      <c r="K24" s="5">
        <v>0.249</v>
      </c>
      <c r="L24" s="6">
        <v>0.22900000000000001</v>
      </c>
      <c r="M24" s="1">
        <v>65</v>
      </c>
      <c r="N24" s="6">
        <v>86</v>
      </c>
      <c r="O24" s="1" t="s">
        <v>33</v>
      </c>
      <c r="P24" s="1">
        <v>0</v>
      </c>
      <c r="Q24" s="1" t="s">
        <v>33</v>
      </c>
      <c r="R24" s="6">
        <v>0</v>
      </c>
      <c r="S24" s="1">
        <v>9</v>
      </c>
      <c r="T24" s="1">
        <v>0</v>
      </c>
      <c r="U24" s="12" t="s">
        <v>22</v>
      </c>
    </row>
    <row r="25" spans="1:21" s="1" customFormat="1">
      <c r="A25" s="5" t="s">
        <v>67</v>
      </c>
      <c r="B25" s="1">
        <v>1883</v>
      </c>
      <c r="C25" s="1" t="s">
        <v>20</v>
      </c>
      <c r="D25" s="1">
        <v>21</v>
      </c>
      <c r="E25" s="5">
        <v>30.2</v>
      </c>
      <c r="F25" s="6">
        <v>30.18</v>
      </c>
      <c r="G25" s="1">
        <v>53.1</v>
      </c>
      <c r="H25" s="1">
        <v>48.3</v>
      </c>
      <c r="I25" s="1">
        <v>32.700000000000003</v>
      </c>
      <c r="J25" s="6">
        <v>59.8</v>
      </c>
      <c r="K25" s="5">
        <v>0.27200000000000002</v>
      </c>
      <c r="L25" s="6">
        <v>0.28199999999999997</v>
      </c>
      <c r="M25" s="1">
        <v>67</v>
      </c>
      <c r="N25" s="6">
        <v>84</v>
      </c>
      <c r="O25" s="1" t="s">
        <v>33</v>
      </c>
      <c r="P25" s="1">
        <v>0</v>
      </c>
      <c r="Q25" s="1" t="s">
        <v>38</v>
      </c>
      <c r="R25" s="6">
        <v>1</v>
      </c>
      <c r="S25" s="1">
        <v>2</v>
      </c>
      <c r="T25" s="1">
        <v>10</v>
      </c>
      <c r="U25" s="12" t="s">
        <v>22</v>
      </c>
    </row>
    <row r="26" spans="1:21" s="1" customFormat="1">
      <c r="A26" s="5" t="s">
        <v>67</v>
      </c>
      <c r="B26" s="1">
        <v>1883</v>
      </c>
      <c r="C26" s="1" t="s">
        <v>20</v>
      </c>
      <c r="D26" s="1">
        <v>22</v>
      </c>
      <c r="E26" s="5">
        <v>30.17</v>
      </c>
      <c r="F26" s="6">
        <v>30.12</v>
      </c>
      <c r="G26" s="1">
        <v>54</v>
      </c>
      <c r="H26" s="1">
        <v>54.1</v>
      </c>
      <c r="I26" s="1">
        <v>44.9</v>
      </c>
      <c r="J26" s="6">
        <v>69.400000000000006</v>
      </c>
      <c r="K26" s="5">
        <v>0.28599999999999998</v>
      </c>
      <c r="L26" s="6">
        <v>0.28299999999999997</v>
      </c>
      <c r="M26" s="1">
        <v>69</v>
      </c>
      <c r="N26" s="6">
        <v>68</v>
      </c>
      <c r="O26" s="1" t="s">
        <v>26</v>
      </c>
      <c r="P26" s="1">
        <v>1</v>
      </c>
      <c r="Q26" s="1" t="s">
        <v>33</v>
      </c>
      <c r="R26" s="6">
        <v>0</v>
      </c>
      <c r="S26" s="1">
        <v>10</v>
      </c>
      <c r="T26" s="1">
        <v>0</v>
      </c>
      <c r="U26" s="12" t="s">
        <v>22</v>
      </c>
    </row>
    <row r="27" spans="1:21" s="1" customFormat="1">
      <c r="A27" s="5" t="s">
        <v>67</v>
      </c>
      <c r="B27" s="1">
        <v>1883</v>
      </c>
      <c r="C27" s="1" t="s">
        <v>20</v>
      </c>
      <c r="D27" s="1">
        <v>23</v>
      </c>
      <c r="E27" s="5">
        <v>30.09</v>
      </c>
      <c r="F27" s="6">
        <v>30.06</v>
      </c>
      <c r="G27" s="1">
        <v>66.900000000000006</v>
      </c>
      <c r="H27" s="1">
        <v>59.2</v>
      </c>
      <c r="I27" s="1">
        <v>49</v>
      </c>
      <c r="J27" s="6">
        <v>76</v>
      </c>
      <c r="K27" s="5">
        <v>0.42</v>
      </c>
      <c r="L27" s="6">
        <v>0.35199999999999998</v>
      </c>
      <c r="M27" s="1">
        <v>63</v>
      </c>
      <c r="N27" s="6">
        <v>70</v>
      </c>
      <c r="O27" s="1" t="s">
        <v>43</v>
      </c>
      <c r="P27" s="1">
        <v>1</v>
      </c>
      <c r="Q27" s="1" t="s">
        <v>35</v>
      </c>
      <c r="R27" s="6">
        <v>1</v>
      </c>
      <c r="S27" s="1">
        <v>2</v>
      </c>
      <c r="T27" s="1">
        <v>3</v>
      </c>
      <c r="U27" s="12" t="s">
        <v>22</v>
      </c>
    </row>
    <row r="28" spans="1:21" s="1" customFormat="1">
      <c r="A28" s="5" t="s">
        <v>67</v>
      </c>
      <c r="B28" s="1">
        <v>1883</v>
      </c>
      <c r="C28" s="1" t="s">
        <v>20</v>
      </c>
      <c r="D28" s="1">
        <v>24</v>
      </c>
      <c r="E28" s="5">
        <v>30.08</v>
      </c>
      <c r="F28" s="6">
        <v>30.01</v>
      </c>
      <c r="G28" s="1">
        <v>67</v>
      </c>
      <c r="H28" s="1">
        <v>61</v>
      </c>
      <c r="I28" s="1">
        <v>47.8</v>
      </c>
      <c r="J28" s="6">
        <v>77</v>
      </c>
      <c r="K28" s="5">
        <v>0.39500000000000002</v>
      </c>
      <c r="L28" s="6">
        <v>0.35299999999999998</v>
      </c>
      <c r="M28" s="1">
        <v>60</v>
      </c>
      <c r="N28" s="6">
        <v>66</v>
      </c>
      <c r="O28" s="1" t="s">
        <v>26</v>
      </c>
      <c r="P28" s="1">
        <v>1</v>
      </c>
      <c r="Q28" s="1" t="s">
        <v>25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67</v>
      </c>
      <c r="B29" s="1">
        <v>1883</v>
      </c>
      <c r="C29" s="1" t="s">
        <v>20</v>
      </c>
      <c r="D29" s="1">
        <v>25</v>
      </c>
      <c r="E29" s="5">
        <v>29.97</v>
      </c>
      <c r="F29" s="6">
        <v>29.75</v>
      </c>
      <c r="G29" s="1">
        <v>64.5</v>
      </c>
      <c r="H29" s="1">
        <v>56.9</v>
      </c>
      <c r="I29" s="1">
        <v>49</v>
      </c>
      <c r="J29" s="6">
        <v>71.8</v>
      </c>
      <c r="K29" s="5">
        <v>0.41899999999999998</v>
      </c>
      <c r="L29" s="6">
        <v>0.433</v>
      </c>
      <c r="M29" s="1">
        <v>69</v>
      </c>
      <c r="N29" s="6">
        <v>94</v>
      </c>
      <c r="O29" s="1" t="s">
        <v>43</v>
      </c>
      <c r="P29" s="1">
        <v>1</v>
      </c>
      <c r="Q29" s="1" t="s">
        <v>24</v>
      </c>
      <c r="R29" s="6">
        <v>1</v>
      </c>
      <c r="S29" s="1">
        <v>6</v>
      </c>
      <c r="T29" s="1">
        <v>10</v>
      </c>
      <c r="U29" s="12">
        <v>0.05</v>
      </c>
    </row>
    <row r="30" spans="1:21" s="1" customFormat="1">
      <c r="A30" s="5" t="s">
        <v>67</v>
      </c>
      <c r="B30" s="1">
        <v>1883</v>
      </c>
      <c r="C30" s="1" t="s">
        <v>20</v>
      </c>
      <c r="D30" s="1">
        <v>26</v>
      </c>
      <c r="E30" s="5">
        <v>29.6</v>
      </c>
      <c r="F30" s="6">
        <v>29.67</v>
      </c>
      <c r="G30" s="1">
        <v>60</v>
      </c>
      <c r="H30" s="1">
        <v>51.3</v>
      </c>
      <c r="I30" s="1">
        <v>48.8</v>
      </c>
      <c r="J30" s="6">
        <v>60.5</v>
      </c>
      <c r="K30" s="5">
        <v>0.45600000000000002</v>
      </c>
      <c r="L30" s="6">
        <v>0.36699999999999999</v>
      </c>
      <c r="M30" s="1">
        <v>89</v>
      </c>
      <c r="N30" s="6">
        <v>97</v>
      </c>
      <c r="O30" s="1" t="s">
        <v>29</v>
      </c>
      <c r="P30" s="1">
        <v>1</v>
      </c>
      <c r="Q30" s="1" t="s">
        <v>28</v>
      </c>
      <c r="R30" s="6">
        <v>2</v>
      </c>
      <c r="S30" s="1">
        <v>10</v>
      </c>
      <c r="T30" s="1">
        <v>10</v>
      </c>
      <c r="U30" s="12">
        <v>0.53</v>
      </c>
    </row>
    <row r="31" spans="1:21" s="1" customFormat="1">
      <c r="A31" s="5" t="s">
        <v>67</v>
      </c>
      <c r="B31" s="1">
        <v>1883</v>
      </c>
      <c r="C31" s="1" t="s">
        <v>20</v>
      </c>
      <c r="D31" s="1">
        <v>27</v>
      </c>
      <c r="E31" s="5">
        <v>29.96</v>
      </c>
      <c r="F31" s="6">
        <v>30.08</v>
      </c>
      <c r="G31" s="1">
        <v>55.9</v>
      </c>
      <c r="H31" s="1">
        <v>48</v>
      </c>
      <c r="I31" s="1">
        <v>46.7</v>
      </c>
      <c r="J31" s="6">
        <v>58.9</v>
      </c>
      <c r="K31" s="5">
        <v>0.317</v>
      </c>
      <c r="L31" s="6">
        <v>0.309</v>
      </c>
      <c r="M31" s="1">
        <v>70</v>
      </c>
      <c r="N31" s="6">
        <v>93</v>
      </c>
      <c r="O31" s="1" t="s">
        <v>28</v>
      </c>
      <c r="P31" s="1">
        <v>1</v>
      </c>
      <c r="Q31" s="1" t="s">
        <v>21</v>
      </c>
      <c r="R31" s="6">
        <v>1</v>
      </c>
      <c r="S31" s="1">
        <v>1</v>
      </c>
      <c r="T31" s="1">
        <v>10</v>
      </c>
      <c r="U31" s="12" t="s">
        <v>22</v>
      </c>
    </row>
    <row r="32" spans="1:21" s="1" customFormat="1">
      <c r="A32" s="5" t="s">
        <v>67</v>
      </c>
      <c r="B32" s="1">
        <v>1883</v>
      </c>
      <c r="C32" s="1" t="s">
        <v>20</v>
      </c>
      <c r="D32" s="1">
        <v>28</v>
      </c>
      <c r="E32" s="5">
        <v>30.06</v>
      </c>
      <c r="F32" s="6">
        <v>30.03</v>
      </c>
      <c r="G32" s="1">
        <v>61.1</v>
      </c>
      <c r="H32" s="1">
        <v>56</v>
      </c>
      <c r="I32" s="1">
        <v>45.8</v>
      </c>
      <c r="J32" s="6">
        <v>67.900000000000006</v>
      </c>
      <c r="K32" s="5">
        <v>0.33300000000000002</v>
      </c>
      <c r="L32" s="6">
        <v>0.34</v>
      </c>
      <c r="M32" s="1">
        <v>62</v>
      </c>
      <c r="N32" s="6">
        <v>75</v>
      </c>
      <c r="O32" s="1" t="s">
        <v>25</v>
      </c>
      <c r="P32" s="1">
        <v>2</v>
      </c>
      <c r="Q32" s="1" t="s">
        <v>39</v>
      </c>
      <c r="R32" s="6">
        <v>1</v>
      </c>
      <c r="S32" s="1">
        <v>4</v>
      </c>
      <c r="T32" s="1">
        <v>1</v>
      </c>
      <c r="U32" s="12" t="s">
        <v>22</v>
      </c>
    </row>
    <row r="33" spans="1:21" s="1" customFormat="1">
      <c r="A33" s="5" t="s">
        <v>67</v>
      </c>
      <c r="B33" s="1">
        <v>1883</v>
      </c>
      <c r="C33" s="1" t="s">
        <v>20</v>
      </c>
      <c r="D33" s="1">
        <v>29</v>
      </c>
      <c r="E33" s="5">
        <v>30.01</v>
      </c>
      <c r="F33" s="6">
        <v>30.02</v>
      </c>
      <c r="G33" s="1">
        <v>63.7</v>
      </c>
      <c r="H33" s="1">
        <v>58.9</v>
      </c>
      <c r="I33" s="1">
        <v>48.9</v>
      </c>
      <c r="J33" s="6">
        <v>71.7</v>
      </c>
      <c r="K33" s="5">
        <v>0.39500000000000002</v>
      </c>
      <c r="L33" s="6">
        <v>0.40300000000000002</v>
      </c>
      <c r="M33" s="1">
        <v>67</v>
      </c>
      <c r="N33" s="6">
        <v>81</v>
      </c>
      <c r="O33" s="1" t="s">
        <v>25</v>
      </c>
      <c r="P33" s="1">
        <v>1</v>
      </c>
      <c r="Q33" s="1" t="s">
        <v>43</v>
      </c>
      <c r="R33" s="6">
        <v>1</v>
      </c>
      <c r="S33" s="1">
        <v>8</v>
      </c>
      <c r="T33" s="1">
        <v>4</v>
      </c>
      <c r="U33" s="12" t="s">
        <v>22</v>
      </c>
    </row>
    <row r="34" spans="1:21" s="1" customFormat="1">
      <c r="A34" s="5" t="s">
        <v>67</v>
      </c>
      <c r="B34" s="1">
        <v>1883</v>
      </c>
      <c r="C34" s="1" t="s">
        <v>20</v>
      </c>
      <c r="D34" s="1">
        <v>30</v>
      </c>
      <c r="E34" s="5">
        <v>30.16</v>
      </c>
      <c r="F34" s="6">
        <v>30.24</v>
      </c>
      <c r="G34" s="1">
        <v>60.4</v>
      </c>
      <c r="H34" s="1">
        <v>49</v>
      </c>
      <c r="I34" s="1">
        <v>48.8</v>
      </c>
      <c r="J34" s="6">
        <v>64.900000000000006</v>
      </c>
      <c r="K34" s="5">
        <v>0.32900000000000001</v>
      </c>
      <c r="L34" s="6">
        <v>0.315</v>
      </c>
      <c r="M34" s="1">
        <v>62</v>
      </c>
      <c r="N34" s="6">
        <v>91</v>
      </c>
      <c r="O34" s="1" t="s">
        <v>26</v>
      </c>
      <c r="P34" s="1">
        <v>1</v>
      </c>
      <c r="Q34" s="1" t="s">
        <v>33</v>
      </c>
      <c r="R34" s="6">
        <v>0</v>
      </c>
      <c r="S34" s="1">
        <v>9</v>
      </c>
      <c r="T34" s="1">
        <v>0</v>
      </c>
      <c r="U34" s="12" t="s">
        <v>22</v>
      </c>
    </row>
    <row r="35" spans="1:21" s="1" customFormat="1">
      <c r="A35" s="5" t="s">
        <v>67</v>
      </c>
      <c r="B35" s="1">
        <v>1883</v>
      </c>
      <c r="C35" s="1" t="s">
        <v>20</v>
      </c>
      <c r="D35" s="8">
        <v>31</v>
      </c>
      <c r="E35" s="7">
        <v>30.24</v>
      </c>
      <c r="F35" s="9">
        <v>30.19</v>
      </c>
      <c r="G35" s="8">
        <v>61.7</v>
      </c>
      <c r="H35" s="8">
        <v>48.8</v>
      </c>
      <c r="I35" s="8">
        <v>42</v>
      </c>
      <c r="J35" s="9">
        <v>65.099999999999994</v>
      </c>
      <c r="K35" s="7">
        <v>0.30599999999999999</v>
      </c>
      <c r="L35" s="9">
        <v>0.3</v>
      </c>
      <c r="M35" s="8">
        <v>55</v>
      </c>
      <c r="N35" s="9">
        <v>87</v>
      </c>
      <c r="O35" s="8" t="s">
        <v>29</v>
      </c>
      <c r="P35" s="8">
        <v>2</v>
      </c>
      <c r="Q35" s="8" t="s">
        <v>21</v>
      </c>
      <c r="R35" s="9">
        <v>1</v>
      </c>
      <c r="S35" s="8">
        <v>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</v>
      </c>
      <c r="F36" s="16">
        <v>29.957000000000001</v>
      </c>
      <c r="G36" s="14">
        <v>54.7</v>
      </c>
      <c r="H36" s="15">
        <v>48.5</v>
      </c>
      <c r="I36" s="15">
        <v>43.4</v>
      </c>
      <c r="J36" s="16">
        <v>60.6</v>
      </c>
      <c r="K36" s="15">
        <v>0.31900000000000001</v>
      </c>
      <c r="L36" s="15">
        <v>0.29599999999999999</v>
      </c>
      <c r="M36" s="14">
        <v>74</v>
      </c>
      <c r="N36" s="16">
        <v>85.9</v>
      </c>
      <c r="O36" s="14" t="s">
        <v>22</v>
      </c>
      <c r="P36" s="15">
        <v>1.3</v>
      </c>
      <c r="Q36" s="15" t="s">
        <v>22</v>
      </c>
      <c r="R36" s="16">
        <v>1.1000000000000001</v>
      </c>
      <c r="S36" s="14">
        <v>7</v>
      </c>
      <c r="T36" s="16">
        <v>4.9000000000000004</v>
      </c>
      <c r="U36" s="17">
        <v>1.5</v>
      </c>
    </row>
    <row r="37" spans="1:21">
      <c r="F37">
        <f>SUM(F5:F35)/31</f>
        <v>29.956451612903223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D24" workbookViewId="0">
      <selection activeCell="F38" sqref="F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29.76</v>
      </c>
      <c r="F5" s="6">
        <v>29.91</v>
      </c>
      <c r="G5" s="1">
        <v>50.6</v>
      </c>
      <c r="H5" s="1">
        <v>44.5</v>
      </c>
      <c r="I5" s="1">
        <v>44</v>
      </c>
      <c r="J5" s="6">
        <v>60</v>
      </c>
      <c r="K5" s="5">
        <v>0.28999999999999998</v>
      </c>
      <c r="L5" s="6">
        <v>0.248</v>
      </c>
      <c r="M5" s="1">
        <v>79</v>
      </c>
      <c r="N5" s="6">
        <v>85</v>
      </c>
      <c r="O5" s="1" t="s">
        <v>24</v>
      </c>
      <c r="P5" s="1">
        <v>2</v>
      </c>
      <c r="Q5" s="1" t="s">
        <v>24</v>
      </c>
      <c r="R5" s="6">
        <v>5</v>
      </c>
      <c r="S5" s="1">
        <v>4</v>
      </c>
      <c r="T5" s="1">
        <v>10</v>
      </c>
      <c r="U5" s="12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29.96</v>
      </c>
      <c r="F6" s="6">
        <v>29.95</v>
      </c>
      <c r="G6" s="1">
        <v>43.2</v>
      </c>
      <c r="H6" s="1">
        <v>42.4</v>
      </c>
      <c r="I6" s="1">
        <v>41.2</v>
      </c>
      <c r="J6" s="6">
        <v>48.4</v>
      </c>
      <c r="K6" s="5">
        <v>0.219</v>
      </c>
      <c r="L6" s="6">
        <v>0.215</v>
      </c>
      <c r="M6" s="1">
        <v>79</v>
      </c>
      <c r="N6" s="6">
        <v>80</v>
      </c>
      <c r="O6" s="1" t="s">
        <v>28</v>
      </c>
      <c r="P6" s="1">
        <v>5</v>
      </c>
      <c r="Q6" s="1" t="s">
        <v>28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29.84</v>
      </c>
      <c r="F7" s="6">
        <v>29.89</v>
      </c>
      <c r="G7" s="1">
        <v>45.8</v>
      </c>
      <c r="H7" s="1">
        <v>40.200000000000003</v>
      </c>
      <c r="I7" s="1">
        <v>33.6</v>
      </c>
      <c r="J7" s="6">
        <v>51.4</v>
      </c>
      <c r="K7" s="5">
        <v>0.24099999999999999</v>
      </c>
      <c r="L7" s="6">
        <v>0.20799999999999999</v>
      </c>
      <c r="M7" s="1">
        <v>79</v>
      </c>
      <c r="N7" s="6">
        <v>84</v>
      </c>
      <c r="O7" s="1" t="s">
        <v>27</v>
      </c>
      <c r="P7" s="1">
        <v>2</v>
      </c>
      <c r="Q7" s="1" t="s">
        <v>27</v>
      </c>
      <c r="R7" s="6">
        <v>1</v>
      </c>
      <c r="S7" s="1">
        <v>5</v>
      </c>
      <c r="T7" s="1">
        <v>10</v>
      </c>
      <c r="U7" s="12">
        <v>0.12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29.87</v>
      </c>
      <c r="F8" s="6">
        <v>29.91</v>
      </c>
      <c r="G8" s="1">
        <v>40.700000000000003</v>
      </c>
      <c r="H8" s="1">
        <v>32.200000000000003</v>
      </c>
      <c r="I8" s="1">
        <v>28.7</v>
      </c>
      <c r="J8" s="6">
        <v>46</v>
      </c>
      <c r="K8" s="5">
        <v>0.214</v>
      </c>
      <c r="L8" s="6">
        <v>0.182</v>
      </c>
      <c r="M8" s="1">
        <v>84</v>
      </c>
      <c r="N8" s="6">
        <v>100</v>
      </c>
      <c r="O8" s="1" t="s">
        <v>24</v>
      </c>
      <c r="P8" s="1">
        <v>4</v>
      </c>
      <c r="Q8" s="1" t="s">
        <v>27</v>
      </c>
      <c r="R8" s="6">
        <v>1</v>
      </c>
      <c r="S8" s="1">
        <v>9</v>
      </c>
      <c r="T8" s="1">
        <v>0</v>
      </c>
      <c r="U8" s="12">
        <v>0.26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29.89</v>
      </c>
      <c r="F9" s="6">
        <v>29.91</v>
      </c>
      <c r="G9" s="1">
        <v>35.200000000000003</v>
      </c>
      <c r="H9" s="1">
        <v>42.6</v>
      </c>
      <c r="I9" s="1">
        <v>29</v>
      </c>
      <c r="J9" s="6">
        <v>49.3</v>
      </c>
      <c r="K9" s="5">
        <v>0.20499999999999999</v>
      </c>
      <c r="L9" s="6">
        <v>0.245</v>
      </c>
      <c r="M9" s="1">
        <v>100</v>
      </c>
      <c r="N9" s="6">
        <v>89</v>
      </c>
      <c r="O9" s="1" t="s">
        <v>28</v>
      </c>
      <c r="P9" s="1">
        <v>1</v>
      </c>
      <c r="Q9" s="1" t="s">
        <v>27</v>
      </c>
      <c r="R9" s="6">
        <v>2</v>
      </c>
      <c r="S9" s="1">
        <v>10</v>
      </c>
      <c r="T9" s="1">
        <v>3</v>
      </c>
      <c r="U9" s="12">
        <v>0.05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29.91</v>
      </c>
      <c r="F10" s="6">
        <v>29.88</v>
      </c>
      <c r="G10" s="1">
        <v>49.5</v>
      </c>
      <c r="H10" s="1">
        <v>48.4</v>
      </c>
      <c r="I10" s="1">
        <v>40</v>
      </c>
      <c r="J10" s="6">
        <v>60.8</v>
      </c>
      <c r="K10" s="5">
        <v>0.29799999999999999</v>
      </c>
      <c r="L10" s="6">
        <v>0.27300000000000002</v>
      </c>
      <c r="M10" s="1">
        <v>85</v>
      </c>
      <c r="N10" s="6">
        <v>81</v>
      </c>
      <c r="O10" s="1" t="s">
        <v>24</v>
      </c>
      <c r="P10" s="1">
        <v>5</v>
      </c>
      <c r="Q10" s="1" t="s">
        <v>24</v>
      </c>
      <c r="R10" s="6">
        <v>6</v>
      </c>
      <c r="S10" s="1">
        <v>6</v>
      </c>
      <c r="T10" s="1">
        <v>5</v>
      </c>
      <c r="U10" s="12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29.74</v>
      </c>
      <c r="F11" s="6">
        <v>29.65</v>
      </c>
      <c r="G11" s="1">
        <v>50.5</v>
      </c>
      <c r="H11" s="1">
        <v>39</v>
      </c>
      <c r="I11" s="1">
        <v>39</v>
      </c>
      <c r="J11" s="6">
        <v>54.4</v>
      </c>
      <c r="K11" s="5">
        <v>0.29499999999999998</v>
      </c>
      <c r="L11" s="6">
        <v>0.23799999999999999</v>
      </c>
      <c r="M11" s="1">
        <v>81</v>
      </c>
      <c r="N11" s="6">
        <v>100</v>
      </c>
      <c r="O11" s="1" t="s">
        <v>23</v>
      </c>
      <c r="P11" s="1">
        <v>1</v>
      </c>
      <c r="Q11" s="1" t="s">
        <v>27</v>
      </c>
      <c r="R11" s="6">
        <v>1</v>
      </c>
      <c r="S11" s="1">
        <v>9</v>
      </c>
      <c r="T11" s="1">
        <v>1</v>
      </c>
      <c r="U11" s="12">
        <v>0.08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29.57</v>
      </c>
      <c r="F12" s="6">
        <v>29.54</v>
      </c>
      <c r="G12" s="1">
        <v>47.6</v>
      </c>
      <c r="H12" s="1">
        <v>45</v>
      </c>
      <c r="I12" s="1">
        <v>32.200000000000003</v>
      </c>
      <c r="J12" s="6">
        <v>51.6</v>
      </c>
      <c r="K12" s="5">
        <v>0.29399999999999998</v>
      </c>
      <c r="L12" s="6">
        <v>0.27100000000000002</v>
      </c>
      <c r="M12" s="1">
        <v>90</v>
      </c>
      <c r="N12" s="6">
        <v>91</v>
      </c>
      <c r="O12" s="1" t="s">
        <v>33</v>
      </c>
      <c r="P12" s="1">
        <v>0</v>
      </c>
      <c r="Q12" s="1" t="s">
        <v>21</v>
      </c>
      <c r="R12" s="6">
        <v>1</v>
      </c>
      <c r="S12" s="1">
        <v>6</v>
      </c>
      <c r="T12" s="1">
        <v>10</v>
      </c>
      <c r="U12" s="12" t="s">
        <v>22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29.55</v>
      </c>
      <c r="F13" s="6">
        <v>29.65</v>
      </c>
      <c r="G13" s="1">
        <v>43.1</v>
      </c>
      <c r="H13" s="1">
        <v>41.1</v>
      </c>
      <c r="I13" s="1">
        <v>41</v>
      </c>
      <c r="J13" s="6">
        <v>46.3</v>
      </c>
      <c r="K13" s="5">
        <v>0.25</v>
      </c>
      <c r="L13" s="6">
        <v>0.23200000000000001</v>
      </c>
      <c r="M13" s="1">
        <v>89</v>
      </c>
      <c r="N13" s="6">
        <v>90</v>
      </c>
      <c r="O13" s="1" t="s">
        <v>24</v>
      </c>
      <c r="P13" s="1">
        <v>1</v>
      </c>
      <c r="Q13" s="1" t="s">
        <v>28</v>
      </c>
      <c r="R13" s="6">
        <v>2</v>
      </c>
      <c r="S13" s="1">
        <v>10</v>
      </c>
      <c r="T13" s="1">
        <v>10</v>
      </c>
      <c r="U13" s="12">
        <v>0.16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29.65</v>
      </c>
      <c r="F14" s="6">
        <v>29.79</v>
      </c>
      <c r="G14" s="1">
        <v>36.700000000000003</v>
      </c>
      <c r="H14" s="1">
        <v>39</v>
      </c>
      <c r="I14" s="1">
        <v>35.799999999999997</v>
      </c>
      <c r="J14" s="6">
        <v>43.8</v>
      </c>
      <c r="K14" s="5">
        <v>0.21199999999999999</v>
      </c>
      <c r="L14" s="6">
        <v>0.222</v>
      </c>
      <c r="M14" s="1">
        <v>98</v>
      </c>
      <c r="N14" s="6">
        <v>94</v>
      </c>
      <c r="O14" s="1" t="s">
        <v>27</v>
      </c>
      <c r="P14" s="1">
        <v>1</v>
      </c>
      <c r="Q14" s="1" t="s">
        <v>33</v>
      </c>
      <c r="R14" s="6">
        <v>0</v>
      </c>
      <c r="S14" s="1">
        <v>10</v>
      </c>
      <c r="T14" s="1">
        <v>2</v>
      </c>
      <c r="U14" s="12">
        <v>0.17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29.89</v>
      </c>
      <c r="F15" s="6">
        <v>29.93</v>
      </c>
      <c r="G15" s="1">
        <v>47.5</v>
      </c>
      <c r="H15" s="1">
        <v>42.1</v>
      </c>
      <c r="I15" s="1">
        <v>35.700000000000003</v>
      </c>
      <c r="J15" s="6">
        <v>52.1</v>
      </c>
      <c r="K15" s="5">
        <v>0.22700000000000001</v>
      </c>
      <c r="L15" s="6">
        <v>0.246</v>
      </c>
      <c r="M15" s="1">
        <v>70</v>
      </c>
      <c r="N15" s="6">
        <v>92</v>
      </c>
      <c r="O15" s="1" t="s">
        <v>26</v>
      </c>
      <c r="P15" s="1">
        <v>2</v>
      </c>
      <c r="Q15" s="1" t="s">
        <v>33</v>
      </c>
      <c r="R15" s="6">
        <v>0</v>
      </c>
      <c r="S15" s="1">
        <v>5</v>
      </c>
      <c r="T15" s="1">
        <v>10</v>
      </c>
      <c r="U15" s="12">
        <v>0.25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29.85</v>
      </c>
      <c r="F16" s="6">
        <v>29.87</v>
      </c>
      <c r="G16" s="1">
        <v>54</v>
      </c>
      <c r="H16" s="1">
        <v>53.8</v>
      </c>
      <c r="I16" s="1">
        <v>40.6</v>
      </c>
      <c r="J16" s="6">
        <v>60</v>
      </c>
      <c r="K16" s="5">
        <v>0.39100000000000001</v>
      </c>
      <c r="L16" s="6">
        <v>0.374</v>
      </c>
      <c r="M16" s="1">
        <v>94</v>
      </c>
      <c r="N16" s="6">
        <v>90</v>
      </c>
      <c r="O16" s="1" t="s">
        <v>25</v>
      </c>
      <c r="P16" s="1">
        <v>1</v>
      </c>
      <c r="Q16" s="1" t="s">
        <v>25</v>
      </c>
      <c r="R16" s="6">
        <v>3</v>
      </c>
      <c r="S16" s="1">
        <v>9</v>
      </c>
      <c r="T16" s="1">
        <v>10</v>
      </c>
      <c r="U16" s="12">
        <v>0.01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29.87</v>
      </c>
      <c r="F17" s="6">
        <v>29.86</v>
      </c>
      <c r="G17" s="1">
        <v>57.6</v>
      </c>
      <c r="H17" s="1">
        <v>55.2</v>
      </c>
      <c r="I17" s="1">
        <v>51.8</v>
      </c>
      <c r="J17" s="6">
        <v>63</v>
      </c>
      <c r="K17" s="5">
        <v>0.377</v>
      </c>
      <c r="L17" s="6">
        <v>0.373</v>
      </c>
      <c r="M17" s="1">
        <v>79</v>
      </c>
      <c r="N17" s="6">
        <v>86</v>
      </c>
      <c r="O17" s="1" t="s">
        <v>25</v>
      </c>
      <c r="P17" s="1">
        <v>5</v>
      </c>
      <c r="Q17" s="1" t="s">
        <v>25</v>
      </c>
      <c r="R17" s="6">
        <v>2</v>
      </c>
      <c r="S17" s="1">
        <v>8</v>
      </c>
      <c r="T17" s="1">
        <v>8</v>
      </c>
      <c r="U17" s="12">
        <v>0.04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29.85</v>
      </c>
      <c r="F18" s="6">
        <v>29.95</v>
      </c>
      <c r="G18" s="1">
        <v>55</v>
      </c>
      <c r="H18" s="1">
        <v>52.2</v>
      </c>
      <c r="I18" s="1">
        <v>51.5</v>
      </c>
      <c r="J18" s="6">
        <v>63</v>
      </c>
      <c r="K18" s="5">
        <v>0.38900000000000001</v>
      </c>
      <c r="L18" s="6">
        <v>0.36599999999999999</v>
      </c>
      <c r="M18" s="1">
        <v>90</v>
      </c>
      <c r="N18" s="6">
        <v>94</v>
      </c>
      <c r="O18" s="1" t="s">
        <v>29</v>
      </c>
      <c r="P18" s="1">
        <v>1</v>
      </c>
      <c r="Q18" s="1" t="s">
        <v>29</v>
      </c>
      <c r="R18" s="6">
        <v>1</v>
      </c>
      <c r="S18" s="1">
        <v>10</v>
      </c>
      <c r="T18" s="1">
        <v>8</v>
      </c>
      <c r="U18" s="12">
        <v>0.08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30.09</v>
      </c>
      <c r="F19" s="6">
        <v>30.22</v>
      </c>
      <c r="G19" s="1">
        <v>56.7</v>
      </c>
      <c r="H19" s="1">
        <v>53.2</v>
      </c>
      <c r="I19" s="1">
        <v>43</v>
      </c>
      <c r="J19" s="6">
        <v>65.8</v>
      </c>
      <c r="K19" s="5">
        <v>0.373</v>
      </c>
      <c r="L19" s="6">
        <v>0.36399999999999999</v>
      </c>
      <c r="M19" s="1">
        <v>81</v>
      </c>
      <c r="N19" s="6">
        <v>90</v>
      </c>
      <c r="O19" s="1" t="s">
        <v>27</v>
      </c>
      <c r="P19" s="1">
        <v>1</v>
      </c>
      <c r="Q19" s="1" t="s">
        <v>33</v>
      </c>
      <c r="R19" s="6">
        <v>0</v>
      </c>
      <c r="S19" s="1">
        <v>7</v>
      </c>
      <c r="T19" s="1">
        <v>6</v>
      </c>
      <c r="U19" s="12" t="s">
        <v>22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30.31</v>
      </c>
      <c r="F20" s="6">
        <v>30.35</v>
      </c>
      <c r="G20" s="1">
        <v>61.8</v>
      </c>
      <c r="H20" s="1">
        <v>60.8</v>
      </c>
      <c r="I20" s="1">
        <v>48</v>
      </c>
      <c r="J20" s="6">
        <v>72.5</v>
      </c>
      <c r="K20" s="5">
        <v>0.437</v>
      </c>
      <c r="L20" s="6">
        <v>0.38800000000000001</v>
      </c>
      <c r="M20" s="1">
        <v>80</v>
      </c>
      <c r="N20" s="6">
        <v>74</v>
      </c>
      <c r="O20" s="1" t="s">
        <v>28</v>
      </c>
      <c r="P20" s="1">
        <v>1</v>
      </c>
      <c r="Q20" s="1" t="s">
        <v>29</v>
      </c>
      <c r="R20" s="6">
        <v>1</v>
      </c>
      <c r="S20" s="1">
        <v>5</v>
      </c>
      <c r="T20" s="1">
        <v>2</v>
      </c>
      <c r="U20" s="12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30.39</v>
      </c>
      <c r="F21" s="6">
        <v>30.33</v>
      </c>
      <c r="G21" s="1">
        <v>60.8</v>
      </c>
      <c r="H21" s="1">
        <v>55.2</v>
      </c>
      <c r="I21" s="1">
        <v>47</v>
      </c>
      <c r="J21" s="6">
        <v>66.8</v>
      </c>
      <c r="K21" s="5">
        <v>0.37</v>
      </c>
      <c r="L21" s="6">
        <v>0.38100000000000001</v>
      </c>
      <c r="M21" s="1">
        <v>70</v>
      </c>
      <c r="N21" s="6">
        <v>88</v>
      </c>
      <c r="O21" s="1" t="s">
        <v>21</v>
      </c>
      <c r="P21" s="1">
        <v>1</v>
      </c>
      <c r="Q21" s="1" t="s">
        <v>28</v>
      </c>
      <c r="R21" s="6">
        <v>1</v>
      </c>
      <c r="S21" s="1">
        <v>8</v>
      </c>
      <c r="T21" s="1">
        <v>3</v>
      </c>
      <c r="U21" s="12" t="s">
        <v>22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30.32</v>
      </c>
      <c r="F22" s="6">
        <v>30.16</v>
      </c>
      <c r="G22" s="1">
        <v>52.6</v>
      </c>
      <c r="H22" s="1">
        <v>53</v>
      </c>
      <c r="I22" s="1">
        <v>41.2</v>
      </c>
      <c r="J22" s="6">
        <v>61.8</v>
      </c>
      <c r="K22" s="5">
        <v>0.27500000000000002</v>
      </c>
      <c r="L22" s="6">
        <v>0.28999999999999998</v>
      </c>
      <c r="M22" s="1">
        <v>70</v>
      </c>
      <c r="N22" s="6">
        <v>72</v>
      </c>
      <c r="O22" s="1" t="s">
        <v>27</v>
      </c>
      <c r="P22" s="1">
        <v>2</v>
      </c>
      <c r="Q22" s="1" t="s">
        <v>26</v>
      </c>
      <c r="R22" s="6">
        <v>1</v>
      </c>
      <c r="S22" s="1">
        <v>1</v>
      </c>
      <c r="T22" s="1">
        <v>5</v>
      </c>
      <c r="U22" s="12" t="s">
        <v>22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30.06</v>
      </c>
      <c r="F23" s="6">
        <v>30.05</v>
      </c>
      <c r="G23" s="1">
        <v>51.8</v>
      </c>
      <c r="H23" s="1">
        <v>51.6</v>
      </c>
      <c r="I23" s="1">
        <v>48</v>
      </c>
      <c r="J23" s="6">
        <v>57.2</v>
      </c>
      <c r="K23" s="5">
        <v>0.32500000000000001</v>
      </c>
      <c r="L23" s="6">
        <v>0.32800000000000001</v>
      </c>
      <c r="M23" s="1">
        <v>84</v>
      </c>
      <c r="N23" s="6">
        <v>86</v>
      </c>
      <c r="O23" s="1" t="s">
        <v>26</v>
      </c>
      <c r="P23" s="1">
        <v>3</v>
      </c>
      <c r="Q23" s="1" t="s">
        <v>33</v>
      </c>
      <c r="R23" s="6">
        <v>0</v>
      </c>
      <c r="S23" s="1">
        <v>10</v>
      </c>
      <c r="T23" s="1">
        <v>10</v>
      </c>
      <c r="U23" s="12">
        <v>0.1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30.03</v>
      </c>
      <c r="F24" s="6">
        <v>30.1</v>
      </c>
      <c r="G24" s="1">
        <v>52.6</v>
      </c>
      <c r="H24" s="1">
        <v>52.6</v>
      </c>
      <c r="I24" s="1">
        <v>48.2</v>
      </c>
      <c r="J24" s="6">
        <v>56</v>
      </c>
      <c r="K24" s="5">
        <v>0.38500000000000001</v>
      </c>
      <c r="L24" s="6">
        <v>0.36899999999999999</v>
      </c>
      <c r="M24" s="1">
        <v>97</v>
      </c>
      <c r="N24" s="6">
        <v>93</v>
      </c>
      <c r="O24" s="1" t="s">
        <v>26</v>
      </c>
      <c r="P24" s="1">
        <v>1</v>
      </c>
      <c r="Q24" s="1" t="s">
        <v>21</v>
      </c>
      <c r="R24" s="6">
        <v>1</v>
      </c>
      <c r="S24" s="1">
        <v>10</v>
      </c>
      <c r="T24" s="1">
        <v>10</v>
      </c>
      <c r="U24" s="12">
        <v>0.01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30.17</v>
      </c>
      <c r="F25" s="6">
        <v>30.17</v>
      </c>
      <c r="G25" s="1">
        <v>54</v>
      </c>
      <c r="H25" s="1">
        <v>54.6</v>
      </c>
      <c r="I25" s="1">
        <v>50</v>
      </c>
      <c r="J25" s="6">
        <v>61.2</v>
      </c>
      <c r="K25" s="5">
        <v>0.374</v>
      </c>
      <c r="L25" s="6">
        <v>0.40899999999999997</v>
      </c>
      <c r="M25" s="1">
        <v>90</v>
      </c>
      <c r="N25" s="6">
        <v>96</v>
      </c>
      <c r="O25" s="1" t="s">
        <v>29</v>
      </c>
      <c r="P25" s="1">
        <v>1</v>
      </c>
      <c r="Q25" s="1" t="s">
        <v>33</v>
      </c>
      <c r="R25" s="6">
        <v>0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30.16</v>
      </c>
      <c r="F26" s="6">
        <v>30.14</v>
      </c>
      <c r="G26" s="1">
        <v>61.4</v>
      </c>
      <c r="H26" s="1">
        <v>61</v>
      </c>
      <c r="I26" s="1">
        <v>52</v>
      </c>
      <c r="J26" s="6">
        <v>71.400000000000006</v>
      </c>
      <c r="K26" s="5">
        <v>0.38100000000000001</v>
      </c>
      <c r="L26" s="6">
        <v>0.41899999999999998</v>
      </c>
      <c r="M26" s="1">
        <v>71</v>
      </c>
      <c r="N26" s="6">
        <v>79</v>
      </c>
      <c r="O26" s="1" t="s">
        <v>33</v>
      </c>
      <c r="P26" s="1">
        <v>0</v>
      </c>
      <c r="Q26" s="1" t="s">
        <v>25</v>
      </c>
      <c r="R26" s="6">
        <v>1</v>
      </c>
      <c r="S26" s="1">
        <v>0</v>
      </c>
      <c r="T26" s="1">
        <v>2</v>
      </c>
      <c r="U26" s="12" t="s">
        <v>22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30.13</v>
      </c>
      <c r="F27" s="6">
        <v>30.14</v>
      </c>
      <c r="G27" s="1">
        <v>60.3</v>
      </c>
      <c r="H27" s="1">
        <v>50.5</v>
      </c>
      <c r="I27" s="1">
        <v>42</v>
      </c>
      <c r="J27" s="6">
        <v>70.8</v>
      </c>
      <c r="K27" s="5">
        <v>0.42199999999999999</v>
      </c>
      <c r="L27" s="6">
        <v>0.35699999999999998</v>
      </c>
      <c r="M27" s="1">
        <v>82</v>
      </c>
      <c r="N27" s="6">
        <v>98</v>
      </c>
      <c r="O27" s="1" t="s">
        <v>26</v>
      </c>
      <c r="P27" s="1">
        <v>2</v>
      </c>
      <c r="Q27" s="1" t="s">
        <v>26</v>
      </c>
      <c r="R27" s="6">
        <v>1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30.09</v>
      </c>
      <c r="F28" s="6">
        <v>30.05</v>
      </c>
      <c r="G28" s="1">
        <v>61</v>
      </c>
      <c r="H28" s="1">
        <v>55.4</v>
      </c>
      <c r="I28" s="1">
        <v>40.200000000000003</v>
      </c>
      <c r="J28" s="6">
        <v>68.599999999999994</v>
      </c>
      <c r="K28" s="5">
        <v>0.38200000000000001</v>
      </c>
      <c r="L28" s="6">
        <v>0.36599999999999999</v>
      </c>
      <c r="M28" s="1">
        <v>75</v>
      </c>
      <c r="N28" s="6">
        <v>84</v>
      </c>
      <c r="O28" s="1" t="s">
        <v>25</v>
      </c>
      <c r="P28" s="1">
        <v>1</v>
      </c>
      <c r="Q28" s="1" t="s">
        <v>26</v>
      </c>
      <c r="R28" s="6">
        <v>2</v>
      </c>
      <c r="S28" s="1">
        <v>0</v>
      </c>
      <c r="T28" s="1">
        <v>7</v>
      </c>
      <c r="U28" s="12" t="s">
        <v>22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29.94</v>
      </c>
      <c r="F29" s="6">
        <v>29.7</v>
      </c>
      <c r="G29" s="1">
        <v>61.4</v>
      </c>
      <c r="H29" s="1">
        <v>55.6</v>
      </c>
      <c r="I29" s="1">
        <v>40.200000000000003</v>
      </c>
      <c r="J29" s="6">
        <v>71.5</v>
      </c>
      <c r="K29" s="5">
        <v>0.39400000000000002</v>
      </c>
      <c r="L29" s="6">
        <v>0.41599999999999998</v>
      </c>
      <c r="M29" s="1">
        <v>73</v>
      </c>
      <c r="N29" s="6">
        <v>94</v>
      </c>
      <c r="O29" s="1" t="s">
        <v>25</v>
      </c>
      <c r="P29" s="1">
        <v>1</v>
      </c>
      <c r="Q29" s="1" t="s">
        <v>25</v>
      </c>
      <c r="R29" s="6">
        <v>2</v>
      </c>
      <c r="S29" s="1">
        <v>4</v>
      </c>
      <c r="T29" s="1">
        <v>3</v>
      </c>
      <c r="U29" s="12">
        <v>0.55000000000000004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29.63</v>
      </c>
      <c r="F30" s="6">
        <v>29.8</v>
      </c>
      <c r="G30" s="1">
        <v>53</v>
      </c>
      <c r="H30" s="1">
        <v>51.4</v>
      </c>
      <c r="I30" s="1">
        <v>50</v>
      </c>
      <c r="J30" s="6">
        <v>59.2</v>
      </c>
      <c r="K30" s="5">
        <v>0.39400000000000002</v>
      </c>
      <c r="L30" s="6">
        <v>0.28899999999999998</v>
      </c>
      <c r="M30" s="1">
        <v>98</v>
      </c>
      <c r="N30" s="6">
        <v>77</v>
      </c>
      <c r="O30" s="1" t="s">
        <v>28</v>
      </c>
      <c r="P30" s="1">
        <v>3</v>
      </c>
      <c r="Q30" s="1" t="s">
        <v>28</v>
      </c>
      <c r="R30" s="6">
        <v>3</v>
      </c>
      <c r="S30" s="1">
        <v>10</v>
      </c>
      <c r="T30" s="1">
        <v>9</v>
      </c>
      <c r="U30" s="12">
        <v>0.02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29.99</v>
      </c>
      <c r="F31" s="6">
        <v>30.05</v>
      </c>
      <c r="G31" s="1">
        <v>55.1</v>
      </c>
      <c r="H31" s="1">
        <v>44.5</v>
      </c>
      <c r="I31" s="1">
        <v>34</v>
      </c>
      <c r="J31" s="6">
        <v>63.8</v>
      </c>
      <c r="K31" s="5">
        <v>0.30099999999999999</v>
      </c>
      <c r="L31" s="6">
        <v>0.28499999999999998</v>
      </c>
      <c r="M31" s="1">
        <v>70</v>
      </c>
      <c r="N31" s="6">
        <v>97</v>
      </c>
      <c r="O31" s="1" t="s">
        <v>26</v>
      </c>
      <c r="P31" s="1">
        <v>2</v>
      </c>
      <c r="Q31" s="1" t="s">
        <v>33</v>
      </c>
      <c r="R31" s="6">
        <v>0</v>
      </c>
      <c r="S31" s="1">
        <v>5</v>
      </c>
      <c r="T31" s="1">
        <v>0</v>
      </c>
      <c r="U31" s="12" t="s">
        <v>22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30.01</v>
      </c>
      <c r="F32" s="6">
        <v>29.99</v>
      </c>
      <c r="G32" s="1">
        <v>58.2</v>
      </c>
      <c r="H32" s="1">
        <v>56.2</v>
      </c>
      <c r="I32" s="1">
        <v>42.8</v>
      </c>
      <c r="J32" s="6">
        <v>62.8</v>
      </c>
      <c r="K32" s="5">
        <v>0.36399999999999999</v>
      </c>
      <c r="L32" s="6">
        <v>0.38600000000000001</v>
      </c>
      <c r="M32" s="1">
        <v>75</v>
      </c>
      <c r="N32" s="6">
        <v>86</v>
      </c>
      <c r="O32" s="1" t="s">
        <v>25</v>
      </c>
      <c r="P32" s="1">
        <v>2</v>
      </c>
      <c r="Q32" s="1" t="s">
        <v>25</v>
      </c>
      <c r="R32" s="6">
        <v>1</v>
      </c>
      <c r="S32" s="1">
        <v>8</v>
      </c>
      <c r="T32" s="1">
        <v>8</v>
      </c>
      <c r="U32" s="12" t="s">
        <v>22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29.94</v>
      </c>
      <c r="F33" s="6">
        <v>30.09</v>
      </c>
      <c r="G33" s="1">
        <v>58.4</v>
      </c>
      <c r="H33" s="1">
        <v>52.2</v>
      </c>
      <c r="I33" s="1">
        <v>51.5</v>
      </c>
      <c r="J33" s="6">
        <v>63.8</v>
      </c>
      <c r="K33" s="5">
        <v>0.443</v>
      </c>
      <c r="L33" s="6">
        <v>0.312</v>
      </c>
      <c r="M33" s="1">
        <v>90</v>
      </c>
      <c r="N33" s="6">
        <v>80</v>
      </c>
      <c r="O33" s="1" t="s">
        <v>29</v>
      </c>
      <c r="P33" s="1">
        <v>3</v>
      </c>
      <c r="Q33" s="1" t="s">
        <v>25</v>
      </c>
      <c r="R33" s="6">
        <v>2</v>
      </c>
      <c r="S33" s="1">
        <v>10</v>
      </c>
      <c r="T33" s="1">
        <v>7</v>
      </c>
      <c r="U33" s="12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30.19</v>
      </c>
      <c r="F34" s="6">
        <v>30.24</v>
      </c>
      <c r="G34" s="1">
        <v>55.7</v>
      </c>
      <c r="H34" s="1">
        <v>48.6</v>
      </c>
      <c r="I34" s="1">
        <v>37.6</v>
      </c>
      <c r="J34" s="6">
        <v>64.2</v>
      </c>
      <c r="K34" s="5">
        <v>0.34</v>
      </c>
      <c r="L34" s="6">
        <v>0.30099999999999999</v>
      </c>
      <c r="M34" s="1">
        <v>77</v>
      </c>
      <c r="N34" s="6">
        <v>88</v>
      </c>
      <c r="O34" s="1" t="s">
        <v>25</v>
      </c>
      <c r="P34" s="1">
        <v>1</v>
      </c>
      <c r="Q34" s="1" t="s">
        <v>29</v>
      </c>
      <c r="R34" s="6">
        <v>1</v>
      </c>
      <c r="S34" s="1">
        <v>3</v>
      </c>
      <c r="T34" s="1">
        <v>2</v>
      </c>
      <c r="U34" s="12" t="s">
        <v>22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30.19</v>
      </c>
      <c r="F35" s="9">
        <v>30.12</v>
      </c>
      <c r="G35" s="8">
        <v>61.8</v>
      </c>
      <c r="H35" s="8">
        <v>55.5</v>
      </c>
      <c r="I35" s="8">
        <v>38</v>
      </c>
      <c r="J35" s="9">
        <v>66.5</v>
      </c>
      <c r="K35" s="7">
        <v>0.377</v>
      </c>
      <c r="L35" s="9">
        <v>0.33100000000000002</v>
      </c>
      <c r="M35" s="8">
        <v>69</v>
      </c>
      <c r="N35" s="9">
        <v>76</v>
      </c>
      <c r="O35" s="8" t="s">
        <v>25</v>
      </c>
      <c r="P35" s="8">
        <v>4</v>
      </c>
      <c r="Q35" s="8" t="s">
        <v>29</v>
      </c>
      <c r="R35" s="9">
        <v>2</v>
      </c>
      <c r="S35" s="8">
        <v>1</v>
      </c>
      <c r="T35" s="8">
        <v>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29.963000000000001</v>
      </c>
      <c r="F36" s="16">
        <v>29.98</v>
      </c>
      <c r="G36" s="14">
        <v>52.7</v>
      </c>
      <c r="H36" s="15">
        <v>49.3</v>
      </c>
      <c r="I36" s="15">
        <v>41.9</v>
      </c>
      <c r="J36" s="16">
        <v>59.8</v>
      </c>
      <c r="K36" s="15">
        <v>0.33</v>
      </c>
      <c r="L36" s="15">
        <v>0.312</v>
      </c>
      <c r="M36" s="14">
        <v>82.2</v>
      </c>
      <c r="N36" s="16">
        <v>87.5</v>
      </c>
      <c r="O36" s="14" t="s">
        <v>22</v>
      </c>
      <c r="P36" s="15">
        <v>1.9</v>
      </c>
      <c r="Q36" s="15" t="s">
        <v>22</v>
      </c>
      <c r="R36" s="16">
        <v>1.5</v>
      </c>
      <c r="S36" s="14">
        <v>6.6</v>
      </c>
      <c r="T36" s="16">
        <v>5.9</v>
      </c>
      <c r="U36" s="17">
        <v>1.9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D32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29.79</v>
      </c>
      <c r="F5" s="6">
        <v>29.9</v>
      </c>
      <c r="G5" s="1">
        <v>48.3</v>
      </c>
      <c r="H5" s="1">
        <v>48.9</v>
      </c>
      <c r="I5" s="1">
        <v>43.9</v>
      </c>
      <c r="J5" s="6">
        <v>59.8</v>
      </c>
      <c r="K5" s="5">
        <v>0.26900000000000002</v>
      </c>
      <c r="L5" s="6">
        <v>0.249</v>
      </c>
      <c r="M5" s="1">
        <v>80</v>
      </c>
      <c r="N5" s="6">
        <v>72</v>
      </c>
      <c r="O5" s="1" t="s">
        <v>23</v>
      </c>
      <c r="P5" s="1">
        <v>2</v>
      </c>
      <c r="Q5" s="1" t="s">
        <v>23</v>
      </c>
      <c r="R5" s="6">
        <v>3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29.96</v>
      </c>
      <c r="F6" s="6">
        <v>29.96</v>
      </c>
      <c r="G6" s="1">
        <v>45</v>
      </c>
      <c r="H6" s="1">
        <v>44.2</v>
      </c>
      <c r="I6" s="1">
        <v>39</v>
      </c>
      <c r="J6" s="6">
        <v>49.4</v>
      </c>
      <c r="K6" s="5">
        <v>0.20300000000000001</v>
      </c>
      <c r="L6" s="6">
        <v>0.21199999999999999</v>
      </c>
      <c r="M6" s="1">
        <v>68</v>
      </c>
      <c r="N6" s="6">
        <v>72</v>
      </c>
      <c r="O6" s="1" t="s">
        <v>24</v>
      </c>
      <c r="P6" s="1">
        <v>3</v>
      </c>
      <c r="Q6" s="1" t="s">
        <v>24</v>
      </c>
      <c r="R6" s="6">
        <v>2</v>
      </c>
      <c r="S6" s="1">
        <v>10</v>
      </c>
      <c r="T6" s="1">
        <v>10</v>
      </c>
      <c r="U6" s="12">
        <v>0.01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29.86</v>
      </c>
      <c r="F7" s="6">
        <v>29.87</v>
      </c>
      <c r="G7" s="1">
        <v>52.2</v>
      </c>
      <c r="H7" s="1">
        <v>42.2</v>
      </c>
      <c r="I7" s="1">
        <v>40.799999999999997</v>
      </c>
      <c r="J7" s="6">
        <v>56.1</v>
      </c>
      <c r="K7" s="5">
        <v>0.23499999999999999</v>
      </c>
      <c r="L7" s="6">
        <v>0.217</v>
      </c>
      <c r="M7" s="1">
        <v>61</v>
      </c>
      <c r="N7" s="6">
        <v>82</v>
      </c>
      <c r="O7" s="1" t="s">
        <v>24</v>
      </c>
      <c r="P7" s="1">
        <v>1</v>
      </c>
      <c r="Q7" s="1" t="s">
        <v>23</v>
      </c>
      <c r="R7" s="6">
        <v>4</v>
      </c>
      <c r="S7" s="1">
        <v>5</v>
      </c>
      <c r="T7" s="1">
        <v>10</v>
      </c>
      <c r="U7" s="12">
        <v>0.01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29.9</v>
      </c>
      <c r="F8" s="6">
        <v>29.93</v>
      </c>
      <c r="G8" s="1">
        <v>44</v>
      </c>
      <c r="H8" s="1">
        <v>41</v>
      </c>
      <c r="I8" s="1">
        <v>33</v>
      </c>
      <c r="J8" s="6">
        <v>47.1</v>
      </c>
      <c r="K8" s="5">
        <v>0.17199999999999999</v>
      </c>
      <c r="L8" s="6">
        <v>0.20699999999999999</v>
      </c>
      <c r="M8" s="1">
        <v>59</v>
      </c>
      <c r="N8" s="6">
        <v>81</v>
      </c>
      <c r="O8" s="1" t="s">
        <v>24</v>
      </c>
      <c r="P8" s="1">
        <v>4</v>
      </c>
      <c r="Q8" s="1" t="s">
        <v>28</v>
      </c>
      <c r="R8" s="6">
        <v>1</v>
      </c>
      <c r="S8" s="1">
        <v>4</v>
      </c>
      <c r="T8" s="1">
        <v>10</v>
      </c>
      <c r="U8" s="12" t="s">
        <v>22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29.93</v>
      </c>
      <c r="F9" s="6">
        <v>29.92</v>
      </c>
      <c r="G9" s="1">
        <v>44.2</v>
      </c>
      <c r="H9" s="1">
        <v>41.3</v>
      </c>
      <c r="I9" s="1">
        <v>33.9</v>
      </c>
      <c r="J9" s="6">
        <v>46.7</v>
      </c>
      <c r="K9" s="5">
        <v>0.182</v>
      </c>
      <c r="L9" s="6">
        <v>0.222</v>
      </c>
      <c r="M9" s="1">
        <v>62</v>
      </c>
      <c r="N9" s="6">
        <v>86</v>
      </c>
      <c r="O9" s="1" t="s">
        <v>28</v>
      </c>
      <c r="P9" s="1">
        <v>3</v>
      </c>
      <c r="Q9" s="1" t="s">
        <v>28</v>
      </c>
      <c r="R9" s="6">
        <v>3</v>
      </c>
      <c r="S9" s="1">
        <v>4</v>
      </c>
      <c r="T9" s="1">
        <v>10</v>
      </c>
      <c r="U9" s="12">
        <v>0.18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29.96</v>
      </c>
      <c r="F10" s="6">
        <v>29.83</v>
      </c>
      <c r="G10" s="1">
        <v>46.9</v>
      </c>
      <c r="H10" s="1">
        <v>52.6</v>
      </c>
      <c r="I10" s="1">
        <v>39.9</v>
      </c>
      <c r="J10" s="6">
        <v>62.8</v>
      </c>
      <c r="K10" s="5">
        <v>0.219</v>
      </c>
      <c r="L10" s="6">
        <v>0.26300000000000001</v>
      </c>
      <c r="M10" s="1">
        <v>69</v>
      </c>
      <c r="N10" s="6">
        <v>67</v>
      </c>
      <c r="O10" s="1" t="s">
        <v>23</v>
      </c>
      <c r="P10" s="1">
        <v>2</v>
      </c>
      <c r="Q10" s="1" t="s">
        <v>24</v>
      </c>
      <c r="R10" s="6">
        <v>5</v>
      </c>
      <c r="S10" s="1">
        <v>10</v>
      </c>
      <c r="T10" s="1">
        <v>4</v>
      </c>
      <c r="U10" s="12" t="s">
        <v>22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29.65</v>
      </c>
      <c r="F11" s="6">
        <v>29.64</v>
      </c>
      <c r="G11" s="1">
        <v>48.5</v>
      </c>
      <c r="H11" s="1">
        <v>45.4</v>
      </c>
      <c r="I11" s="1">
        <v>45.3</v>
      </c>
      <c r="J11" s="6">
        <v>53.4</v>
      </c>
      <c r="K11" s="5">
        <v>0.23300000000000001</v>
      </c>
      <c r="L11" s="6">
        <v>0.28699999999999998</v>
      </c>
      <c r="M11" s="1">
        <v>69</v>
      </c>
      <c r="N11" s="6">
        <v>95</v>
      </c>
      <c r="O11" s="1" t="s">
        <v>23</v>
      </c>
      <c r="P11" s="1">
        <v>5</v>
      </c>
      <c r="Q11" s="1" t="s">
        <v>33</v>
      </c>
      <c r="R11" s="6">
        <v>0</v>
      </c>
      <c r="S11" s="1">
        <v>10</v>
      </c>
      <c r="T11" s="1">
        <v>8</v>
      </c>
      <c r="U11" s="12">
        <v>0.16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29.54</v>
      </c>
      <c r="F12" s="6">
        <v>29.49</v>
      </c>
      <c r="G12" s="1">
        <v>49.3</v>
      </c>
      <c r="H12" s="1">
        <v>43.6</v>
      </c>
      <c r="I12" s="1">
        <v>40.9</v>
      </c>
      <c r="J12" s="6">
        <v>55.4</v>
      </c>
      <c r="K12" s="5">
        <v>0.30299999999999999</v>
      </c>
      <c r="L12" s="6">
        <v>0.25700000000000001</v>
      </c>
      <c r="M12" s="1">
        <v>87</v>
      </c>
      <c r="N12" s="6">
        <v>90</v>
      </c>
      <c r="O12" s="1" t="s">
        <v>25</v>
      </c>
      <c r="P12" s="1">
        <v>1</v>
      </c>
      <c r="Q12" s="1" t="s">
        <v>21</v>
      </c>
      <c r="R12" s="6">
        <v>1</v>
      </c>
      <c r="S12" s="1">
        <v>7</v>
      </c>
      <c r="T12" s="1">
        <v>3</v>
      </c>
      <c r="U12" s="12">
        <v>0.1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29.5</v>
      </c>
      <c r="F13" s="6">
        <v>29.65</v>
      </c>
      <c r="G13" s="1">
        <v>46.9</v>
      </c>
      <c r="H13" s="1">
        <v>42</v>
      </c>
      <c r="I13" s="1">
        <v>41</v>
      </c>
      <c r="J13" s="6">
        <v>51.2</v>
      </c>
      <c r="K13" s="5">
        <v>0.27</v>
      </c>
      <c r="L13" s="6">
        <v>0.19900000000000001</v>
      </c>
      <c r="M13" s="1">
        <v>85</v>
      </c>
      <c r="N13" s="6">
        <v>76</v>
      </c>
      <c r="O13" s="1" t="s">
        <v>23</v>
      </c>
      <c r="P13" s="1">
        <v>1</v>
      </c>
      <c r="Q13" s="1" t="s">
        <v>24</v>
      </c>
      <c r="R13" s="6">
        <v>2</v>
      </c>
      <c r="S13" s="1">
        <v>10</v>
      </c>
      <c r="T13" s="1">
        <v>5</v>
      </c>
      <c r="U13" s="12">
        <v>0.06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29.67</v>
      </c>
      <c r="F14" s="6">
        <v>29.79</v>
      </c>
      <c r="G14" s="1">
        <v>46.4</v>
      </c>
      <c r="H14" s="1">
        <v>40.4</v>
      </c>
      <c r="I14" s="1">
        <v>37.799999999999997</v>
      </c>
      <c r="J14" s="6">
        <v>49.4</v>
      </c>
      <c r="K14" s="5">
        <v>0.189</v>
      </c>
      <c r="L14" s="6">
        <v>0.216</v>
      </c>
      <c r="M14" s="1">
        <v>60</v>
      </c>
      <c r="N14" s="6">
        <v>87</v>
      </c>
      <c r="O14" s="1" t="s">
        <v>28</v>
      </c>
      <c r="P14" s="1">
        <v>2</v>
      </c>
      <c r="Q14" s="1" t="s">
        <v>26</v>
      </c>
      <c r="R14" s="6">
        <v>1</v>
      </c>
      <c r="S14" s="1">
        <v>10</v>
      </c>
      <c r="T14" s="1">
        <v>8</v>
      </c>
      <c r="U14" s="12">
        <v>0.03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29.9</v>
      </c>
      <c r="F15" s="6">
        <v>29.8</v>
      </c>
      <c r="G15" s="1">
        <v>44.2</v>
      </c>
      <c r="H15" s="1">
        <v>42</v>
      </c>
      <c r="I15" s="1">
        <v>35.5</v>
      </c>
      <c r="J15" s="6">
        <v>50.5</v>
      </c>
      <c r="K15" s="5">
        <v>0.214</v>
      </c>
      <c r="L15" s="6">
        <v>0.26</v>
      </c>
      <c r="M15" s="1">
        <v>73</v>
      </c>
      <c r="N15" s="6">
        <v>98</v>
      </c>
      <c r="O15" s="1" t="s">
        <v>26</v>
      </c>
      <c r="P15" s="1">
        <v>2</v>
      </c>
      <c r="Q15" s="1" t="s">
        <v>23</v>
      </c>
      <c r="R15" s="6">
        <v>1</v>
      </c>
      <c r="S15" s="1">
        <v>10</v>
      </c>
      <c r="T15" s="1">
        <v>10</v>
      </c>
      <c r="U15" s="12">
        <v>0.52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29.72</v>
      </c>
      <c r="F16" s="6">
        <v>29.79</v>
      </c>
      <c r="G16" s="1">
        <v>51.6</v>
      </c>
      <c r="H16" s="1">
        <v>50.6</v>
      </c>
      <c r="I16" s="1">
        <v>41.8</v>
      </c>
      <c r="J16" s="6">
        <v>54.3</v>
      </c>
      <c r="K16" s="5">
        <v>0.36899999999999999</v>
      </c>
      <c r="L16" s="6">
        <v>0.36599999999999999</v>
      </c>
      <c r="M16" s="1">
        <v>97</v>
      </c>
      <c r="N16" s="6">
        <v>99</v>
      </c>
      <c r="O16" s="1" t="s">
        <v>25</v>
      </c>
      <c r="P16" s="1">
        <v>3</v>
      </c>
      <c r="Q16" s="1" t="s">
        <v>25</v>
      </c>
      <c r="R16" s="6">
        <v>5</v>
      </c>
      <c r="S16" s="1">
        <v>10</v>
      </c>
      <c r="T16" s="1">
        <v>10</v>
      </c>
      <c r="U16" s="12">
        <v>0.86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29.79</v>
      </c>
      <c r="F17" s="6">
        <v>29.82</v>
      </c>
      <c r="G17" s="1">
        <v>50.8</v>
      </c>
      <c r="H17" s="1">
        <v>49.8</v>
      </c>
      <c r="I17" s="1">
        <v>49.8</v>
      </c>
      <c r="J17" s="6">
        <v>53.9</v>
      </c>
      <c r="K17" s="5">
        <v>0.36399999999999999</v>
      </c>
      <c r="L17" s="6">
        <v>0.34799999999999998</v>
      </c>
      <c r="M17" s="1">
        <v>98</v>
      </c>
      <c r="N17" s="6">
        <v>97</v>
      </c>
      <c r="O17" s="1" t="s">
        <v>25</v>
      </c>
      <c r="P17" s="1">
        <v>6</v>
      </c>
      <c r="Q17" s="1" t="s">
        <v>25</v>
      </c>
      <c r="R17" s="6">
        <v>2</v>
      </c>
      <c r="S17" s="1">
        <v>10</v>
      </c>
      <c r="T17" s="1">
        <v>8</v>
      </c>
      <c r="U17" s="12">
        <v>0.25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29.84</v>
      </c>
      <c r="F18" s="6">
        <v>29.94</v>
      </c>
      <c r="G18" s="1">
        <v>53.4</v>
      </c>
      <c r="H18" s="1">
        <v>51.3</v>
      </c>
      <c r="I18" s="1">
        <v>48.2</v>
      </c>
      <c r="J18" s="6">
        <v>60.5</v>
      </c>
      <c r="K18" s="5">
        <v>0.30199999999999999</v>
      </c>
      <c r="L18" s="6">
        <v>0.34899999999999998</v>
      </c>
      <c r="M18" s="1">
        <v>74</v>
      </c>
      <c r="N18" s="6">
        <v>92</v>
      </c>
      <c r="O18" s="1" t="s">
        <v>25</v>
      </c>
      <c r="P18" s="1">
        <v>2</v>
      </c>
      <c r="Q18" s="1" t="s">
        <v>29</v>
      </c>
      <c r="R18" s="6">
        <v>1</v>
      </c>
      <c r="S18" s="1">
        <v>6</v>
      </c>
      <c r="T18" s="1">
        <v>10</v>
      </c>
      <c r="U18" s="12">
        <v>0.06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30.1</v>
      </c>
      <c r="F19" s="6">
        <v>30.24</v>
      </c>
      <c r="G19" s="1">
        <v>56</v>
      </c>
      <c r="H19" s="1">
        <v>52</v>
      </c>
      <c r="I19" s="1">
        <v>47.6</v>
      </c>
      <c r="J19" s="6">
        <v>63.6</v>
      </c>
      <c r="K19" s="5">
        <v>0.33500000000000002</v>
      </c>
      <c r="L19" s="6">
        <v>0.30299999999999999</v>
      </c>
      <c r="M19" s="1">
        <v>75</v>
      </c>
      <c r="N19" s="6">
        <v>78</v>
      </c>
      <c r="O19" s="1" t="s">
        <v>33</v>
      </c>
      <c r="P19" s="1">
        <v>0</v>
      </c>
      <c r="Q19" s="1" t="s">
        <v>29</v>
      </c>
      <c r="R19" s="6">
        <v>2</v>
      </c>
      <c r="S19" s="1">
        <v>9</v>
      </c>
      <c r="T19" s="1">
        <v>6</v>
      </c>
      <c r="U19" s="12" t="s">
        <v>22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30.33</v>
      </c>
      <c r="F20" s="6">
        <v>30.33</v>
      </c>
      <c r="G20" s="1">
        <v>59.5</v>
      </c>
      <c r="H20" s="1">
        <v>58.9</v>
      </c>
      <c r="I20" s="1">
        <v>50.8</v>
      </c>
      <c r="J20" s="6">
        <v>72.2</v>
      </c>
      <c r="K20" s="5">
        <v>0.35199999999999998</v>
      </c>
      <c r="L20" s="6">
        <v>0.34300000000000003</v>
      </c>
      <c r="M20" s="1">
        <v>70</v>
      </c>
      <c r="N20" s="6">
        <v>70</v>
      </c>
      <c r="O20" s="1" t="s">
        <v>28</v>
      </c>
      <c r="P20" s="1">
        <v>2</v>
      </c>
      <c r="Q20" s="1" t="s">
        <v>23</v>
      </c>
      <c r="R20" s="6">
        <v>2</v>
      </c>
      <c r="S20" s="1">
        <v>5</v>
      </c>
      <c r="T20" s="1">
        <v>0</v>
      </c>
      <c r="U20" s="12" t="s">
        <v>22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30.39</v>
      </c>
      <c r="F21" s="6">
        <v>30.35</v>
      </c>
      <c r="G21" s="1">
        <v>57.9</v>
      </c>
      <c r="H21" s="1">
        <v>52.4</v>
      </c>
      <c r="I21" s="1">
        <v>51.4</v>
      </c>
      <c r="J21" s="6">
        <v>68.8</v>
      </c>
      <c r="K21" s="5">
        <v>0.379</v>
      </c>
      <c r="L21" s="6">
        <v>0.29799999999999999</v>
      </c>
      <c r="M21" s="1">
        <v>80</v>
      </c>
      <c r="N21" s="6">
        <v>76</v>
      </c>
      <c r="O21" s="1" t="s">
        <v>21</v>
      </c>
      <c r="P21" s="1">
        <v>1</v>
      </c>
      <c r="Q21" s="1" t="s">
        <v>33</v>
      </c>
      <c r="R21" s="6">
        <v>0</v>
      </c>
      <c r="S21" s="1">
        <v>9</v>
      </c>
      <c r="T21" s="1">
        <v>0</v>
      </c>
      <c r="U21" s="12" t="s">
        <v>22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30.34</v>
      </c>
      <c r="F22" s="6">
        <v>30.22</v>
      </c>
      <c r="G22" s="1">
        <v>54.8</v>
      </c>
      <c r="H22" s="1">
        <v>46.4</v>
      </c>
      <c r="I22" s="1">
        <v>46</v>
      </c>
      <c r="J22" s="6">
        <v>58.1</v>
      </c>
      <c r="K22" s="5">
        <v>0.26500000000000001</v>
      </c>
      <c r="L22" s="6">
        <v>0.253</v>
      </c>
      <c r="M22" s="1">
        <v>62</v>
      </c>
      <c r="N22" s="6">
        <v>81</v>
      </c>
      <c r="O22" s="1" t="s">
        <v>28</v>
      </c>
      <c r="P22" s="1">
        <v>1</v>
      </c>
      <c r="Q22" s="1" t="s">
        <v>26</v>
      </c>
      <c r="R22" s="6">
        <v>1</v>
      </c>
      <c r="S22" s="1">
        <v>1</v>
      </c>
      <c r="T22" s="1">
        <v>1</v>
      </c>
      <c r="U22" s="12" t="s">
        <v>22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30.11</v>
      </c>
      <c r="F23" s="6">
        <v>30.08</v>
      </c>
      <c r="G23" s="1">
        <v>50</v>
      </c>
      <c r="H23" s="1">
        <v>52.3</v>
      </c>
      <c r="I23" s="1">
        <v>46</v>
      </c>
      <c r="J23" s="6">
        <v>59.2</v>
      </c>
      <c r="K23" s="5">
        <v>0.33100000000000002</v>
      </c>
      <c r="L23" s="6">
        <v>0.33100000000000002</v>
      </c>
      <c r="M23" s="1">
        <v>92</v>
      </c>
      <c r="N23" s="6">
        <v>84</v>
      </c>
      <c r="O23" s="1" t="s">
        <v>27</v>
      </c>
      <c r="P23" s="1">
        <v>2</v>
      </c>
      <c r="Q23" s="1" t="s">
        <v>27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30.04</v>
      </c>
      <c r="F24" s="6">
        <v>30.09</v>
      </c>
      <c r="G24" s="1">
        <v>56</v>
      </c>
      <c r="H24" s="1">
        <v>51.3</v>
      </c>
      <c r="I24" s="1">
        <v>49.8</v>
      </c>
      <c r="J24" s="6">
        <v>57.9</v>
      </c>
      <c r="K24" s="5">
        <v>0.35599999999999998</v>
      </c>
      <c r="L24" s="6">
        <v>0.311</v>
      </c>
      <c r="M24" s="1">
        <v>79</v>
      </c>
      <c r="N24" s="6">
        <v>82</v>
      </c>
      <c r="O24" s="1" t="s">
        <v>28</v>
      </c>
      <c r="P24" s="1">
        <v>1</v>
      </c>
      <c r="Q24" s="1" t="s">
        <v>33</v>
      </c>
      <c r="R24" s="6">
        <v>0</v>
      </c>
      <c r="S24" s="1">
        <v>10</v>
      </c>
      <c r="T24" s="1">
        <v>0</v>
      </c>
      <c r="U24" s="12" t="s">
        <v>22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30.14</v>
      </c>
      <c r="F25" s="6">
        <v>30.15</v>
      </c>
      <c r="G25" s="1">
        <v>56.8</v>
      </c>
      <c r="H25" s="1">
        <v>50.8</v>
      </c>
      <c r="I25" s="1">
        <v>47.2</v>
      </c>
      <c r="J25" s="6">
        <v>65.8</v>
      </c>
      <c r="K25" s="5">
        <v>0.36599999999999999</v>
      </c>
      <c r="L25" s="6">
        <v>0.34300000000000003</v>
      </c>
      <c r="M25" s="1">
        <v>79</v>
      </c>
      <c r="N25" s="6">
        <v>92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0</v>
      </c>
      <c r="U25" s="12" t="s">
        <v>22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30.15</v>
      </c>
      <c r="F26" s="6">
        <v>30.16</v>
      </c>
      <c r="G26" s="1">
        <v>62.2</v>
      </c>
      <c r="H26" s="1">
        <v>51.4</v>
      </c>
      <c r="I26" s="1">
        <v>43.8</v>
      </c>
      <c r="J26" s="6">
        <v>66.900000000000006</v>
      </c>
      <c r="K26" s="5">
        <v>0.38800000000000001</v>
      </c>
      <c r="L26" s="6">
        <v>0.36899999999999999</v>
      </c>
      <c r="M26" s="1">
        <v>70</v>
      </c>
      <c r="N26" s="6">
        <v>97</v>
      </c>
      <c r="O26" s="1" t="s">
        <v>29</v>
      </c>
      <c r="P26" s="1">
        <v>1</v>
      </c>
      <c r="Q26" s="1" t="s">
        <v>26</v>
      </c>
      <c r="R26" s="6">
        <v>1</v>
      </c>
      <c r="S26" s="1">
        <v>0</v>
      </c>
      <c r="T26" s="1">
        <v>10</v>
      </c>
      <c r="U26" s="12" t="s">
        <v>22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30.18</v>
      </c>
      <c r="F27" s="6">
        <v>30.18</v>
      </c>
      <c r="G27" s="1">
        <v>57.1</v>
      </c>
      <c r="H27" s="1">
        <v>51</v>
      </c>
      <c r="I27" s="1">
        <v>49.9</v>
      </c>
      <c r="J27" s="6">
        <v>62.6</v>
      </c>
      <c r="K27" s="5">
        <v>0.33100000000000002</v>
      </c>
      <c r="L27" s="6">
        <v>0.33300000000000002</v>
      </c>
      <c r="M27" s="1">
        <v>71</v>
      </c>
      <c r="N27" s="6">
        <v>89</v>
      </c>
      <c r="O27" s="1" t="s">
        <v>25</v>
      </c>
      <c r="P27" s="1">
        <v>1</v>
      </c>
      <c r="Q27" s="1" t="s">
        <v>25</v>
      </c>
      <c r="R27" s="6">
        <v>1</v>
      </c>
      <c r="S27" s="1">
        <v>5</v>
      </c>
      <c r="T27" s="1">
        <v>10</v>
      </c>
      <c r="U27" s="12" t="s">
        <v>22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30.13</v>
      </c>
      <c r="F28" s="6">
        <v>30.02</v>
      </c>
      <c r="G28" s="1">
        <v>54.8</v>
      </c>
      <c r="H28" s="1">
        <v>51.3</v>
      </c>
      <c r="I28" s="1">
        <v>49.5</v>
      </c>
      <c r="J28" s="6">
        <v>59.8</v>
      </c>
      <c r="K28" s="5">
        <v>0.34399999999999997</v>
      </c>
      <c r="L28" s="6">
        <v>0.35499999999999998</v>
      </c>
      <c r="M28" s="1">
        <v>80</v>
      </c>
      <c r="N28" s="6">
        <v>94</v>
      </c>
      <c r="O28" s="1" t="s">
        <v>25</v>
      </c>
      <c r="P28" s="1">
        <v>1</v>
      </c>
      <c r="Q28" s="1" t="s">
        <v>25</v>
      </c>
      <c r="R28" s="6">
        <v>1</v>
      </c>
      <c r="S28" s="1">
        <v>10</v>
      </c>
      <c r="T28" s="1">
        <v>2</v>
      </c>
      <c r="U28" s="12" t="s">
        <v>22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29.91</v>
      </c>
      <c r="F29" s="6">
        <v>29.72</v>
      </c>
      <c r="G29" s="1">
        <v>58.9</v>
      </c>
      <c r="H29" s="1">
        <v>53.4</v>
      </c>
      <c r="I29" s="1">
        <v>49.1</v>
      </c>
      <c r="J29" s="6">
        <v>63.3</v>
      </c>
      <c r="K29" s="5">
        <v>0.34799999999999998</v>
      </c>
      <c r="L29" s="6">
        <v>0.34799999999999998</v>
      </c>
      <c r="M29" s="1">
        <v>71</v>
      </c>
      <c r="N29" s="6">
        <v>85</v>
      </c>
      <c r="O29" s="1" t="s">
        <v>29</v>
      </c>
      <c r="P29" s="1">
        <v>1</v>
      </c>
      <c r="Q29" s="1" t="s">
        <v>21</v>
      </c>
      <c r="R29" s="6">
        <v>1</v>
      </c>
      <c r="S29" s="1">
        <v>7</v>
      </c>
      <c r="T29" s="1">
        <v>10</v>
      </c>
      <c r="U29" s="12" t="s">
        <v>22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29.69</v>
      </c>
      <c r="F30" s="6">
        <v>29.88</v>
      </c>
      <c r="G30" s="1">
        <v>52.8</v>
      </c>
      <c r="H30" s="1">
        <v>45.3</v>
      </c>
      <c r="I30" s="1">
        <v>44.3</v>
      </c>
      <c r="J30" s="6">
        <v>56.9</v>
      </c>
      <c r="K30" s="5">
        <v>0.34799999999999998</v>
      </c>
      <c r="L30" s="6">
        <v>0.26500000000000001</v>
      </c>
      <c r="M30" s="1">
        <v>86</v>
      </c>
      <c r="N30" s="6">
        <v>88</v>
      </c>
      <c r="O30" s="1" t="s">
        <v>28</v>
      </c>
      <c r="P30" s="1">
        <v>1</v>
      </c>
      <c r="Q30" s="1" t="s">
        <v>28</v>
      </c>
      <c r="R30" s="6">
        <v>1</v>
      </c>
      <c r="S30" s="1">
        <v>10</v>
      </c>
      <c r="T30" s="1">
        <v>0</v>
      </c>
      <c r="U30" s="12" t="s">
        <v>22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29.98</v>
      </c>
      <c r="F31" s="6">
        <v>30.01</v>
      </c>
      <c r="G31" s="1">
        <v>59.4</v>
      </c>
      <c r="H31" s="1">
        <v>50.5</v>
      </c>
      <c r="I31" s="1">
        <v>42.2</v>
      </c>
      <c r="J31" s="6">
        <v>61.2</v>
      </c>
      <c r="K31" s="5">
        <v>0.29799999999999999</v>
      </c>
      <c r="L31" s="6">
        <v>0.316</v>
      </c>
      <c r="M31" s="1">
        <v>59</v>
      </c>
      <c r="N31" s="6">
        <v>87</v>
      </c>
      <c r="O31" s="1" t="s">
        <v>21</v>
      </c>
      <c r="P31" s="1">
        <v>1</v>
      </c>
      <c r="Q31" s="1" t="s">
        <v>26</v>
      </c>
      <c r="R31" s="6">
        <v>1</v>
      </c>
      <c r="S31" s="1">
        <v>1</v>
      </c>
      <c r="T31" s="1">
        <v>2</v>
      </c>
      <c r="U31" s="12" t="s">
        <v>22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29.96</v>
      </c>
      <c r="F32" s="6">
        <v>29.91</v>
      </c>
      <c r="G32" s="1">
        <v>54</v>
      </c>
      <c r="H32" s="1">
        <v>53.8</v>
      </c>
      <c r="I32" s="1">
        <v>50</v>
      </c>
      <c r="J32" s="6">
        <v>57.3</v>
      </c>
      <c r="K32" s="5">
        <v>0.36399999999999999</v>
      </c>
      <c r="L32" s="6">
        <v>0.40600000000000003</v>
      </c>
      <c r="M32" s="1">
        <v>87</v>
      </c>
      <c r="N32" s="6">
        <v>98</v>
      </c>
      <c r="O32" s="1" t="s">
        <v>29</v>
      </c>
      <c r="P32" s="1">
        <v>5</v>
      </c>
      <c r="Q32" s="1" t="s">
        <v>29</v>
      </c>
      <c r="R32" s="6">
        <v>4</v>
      </c>
      <c r="S32" s="1">
        <v>10</v>
      </c>
      <c r="T32" s="1">
        <v>10</v>
      </c>
      <c r="U32" s="12">
        <v>0.47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29.95</v>
      </c>
      <c r="F33" s="6">
        <v>30.11</v>
      </c>
      <c r="G33" s="1">
        <v>57.9</v>
      </c>
      <c r="H33" s="1">
        <v>47.1</v>
      </c>
      <c r="I33" s="1">
        <v>47</v>
      </c>
      <c r="J33" s="6">
        <v>59.2</v>
      </c>
      <c r="K33" s="5">
        <v>0.317</v>
      </c>
      <c r="L33" s="6">
        <v>0.27800000000000002</v>
      </c>
      <c r="M33" s="1">
        <v>66</v>
      </c>
      <c r="N33" s="6">
        <v>86</v>
      </c>
      <c r="O33" s="1" t="s">
        <v>26</v>
      </c>
      <c r="P33" s="1">
        <v>3</v>
      </c>
      <c r="Q33" s="1" t="s">
        <v>33</v>
      </c>
      <c r="R33" s="6">
        <v>0</v>
      </c>
      <c r="S33" s="1">
        <v>4</v>
      </c>
      <c r="T33" s="1">
        <v>0</v>
      </c>
      <c r="U33" s="12" t="s">
        <v>22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30.19</v>
      </c>
      <c r="F34" s="6">
        <v>30.22</v>
      </c>
      <c r="G34" s="1">
        <v>56.2</v>
      </c>
      <c r="H34" s="1">
        <v>49.2</v>
      </c>
      <c r="I34" s="1">
        <v>40.6</v>
      </c>
      <c r="J34" s="6">
        <v>60.2</v>
      </c>
      <c r="K34" s="5">
        <v>0.309</v>
      </c>
      <c r="L34" s="6">
        <v>0.32200000000000001</v>
      </c>
      <c r="M34" s="1">
        <v>69</v>
      </c>
      <c r="N34" s="6">
        <v>93</v>
      </c>
      <c r="O34" s="1" t="s">
        <v>29</v>
      </c>
      <c r="P34" s="1">
        <v>1</v>
      </c>
      <c r="Q34" s="1" t="s">
        <v>33</v>
      </c>
      <c r="R34" s="6">
        <v>0</v>
      </c>
      <c r="S34" s="1">
        <v>4</v>
      </c>
      <c r="T34" s="1">
        <v>0</v>
      </c>
      <c r="U34" s="12">
        <v>0.05</v>
      </c>
    </row>
    <row r="35" spans="1:21" s="1" customFormat="1">
      <c r="A35" s="5" t="s">
        <v>69</v>
      </c>
      <c r="B35" s="1">
        <v>1883</v>
      </c>
      <c r="C35" s="1" t="s">
        <v>20</v>
      </c>
      <c r="D35" s="8">
        <v>31</v>
      </c>
      <c r="E35" s="7">
        <v>30.14</v>
      </c>
      <c r="F35" s="9">
        <v>30.05</v>
      </c>
      <c r="G35" s="8">
        <v>56.6</v>
      </c>
      <c r="H35" s="8">
        <v>54.3</v>
      </c>
      <c r="I35" s="8">
        <v>48.6</v>
      </c>
      <c r="J35" s="9">
        <v>58.4</v>
      </c>
      <c r="K35" s="7">
        <v>0.38500000000000001</v>
      </c>
      <c r="L35" s="9">
        <v>0.38400000000000001</v>
      </c>
      <c r="M35" s="8">
        <v>84</v>
      </c>
      <c r="N35" s="9">
        <v>91</v>
      </c>
      <c r="O35" s="8" t="s">
        <v>25</v>
      </c>
      <c r="P35" s="8">
        <v>4</v>
      </c>
      <c r="Q35" s="8" t="s">
        <v>29</v>
      </c>
      <c r="R35" s="9">
        <v>3</v>
      </c>
      <c r="S35" s="8">
        <v>10</v>
      </c>
      <c r="T35" s="8">
        <v>10</v>
      </c>
      <c r="U35" s="13">
        <v>0.57999999999999996</v>
      </c>
    </row>
    <row r="36" spans="1:21" s="1" customFormat="1">
      <c r="A36" s="14"/>
      <c r="B36" s="15"/>
      <c r="C36" s="15"/>
      <c r="D36" s="16" t="s">
        <v>30</v>
      </c>
      <c r="E36" s="15">
        <v>29.96</v>
      </c>
      <c r="F36" s="16">
        <v>29.969000000000001</v>
      </c>
      <c r="G36" s="14">
        <v>52.7</v>
      </c>
      <c r="H36" s="15">
        <v>48.6</v>
      </c>
      <c r="I36" s="15">
        <v>44.3</v>
      </c>
      <c r="J36" s="16">
        <v>58.1</v>
      </c>
      <c r="K36" s="15">
        <v>0.30099999999999999</v>
      </c>
      <c r="L36" s="15">
        <v>0.29699999999999999</v>
      </c>
      <c r="M36" s="14">
        <v>74.900000000000006</v>
      </c>
      <c r="N36" s="16">
        <v>86</v>
      </c>
      <c r="O36" s="14" t="s">
        <v>22</v>
      </c>
      <c r="P36" s="15">
        <v>2</v>
      </c>
      <c r="Q36" s="15" t="s">
        <v>22</v>
      </c>
      <c r="R36" s="16">
        <v>1.6</v>
      </c>
      <c r="S36" s="14">
        <v>7.5</v>
      </c>
      <c r="T36" s="16">
        <v>5.7</v>
      </c>
      <c r="U36" s="17">
        <v>3.34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7"/>
  <sheetViews>
    <sheetView topLeftCell="R21" workbookViewId="0">
      <selection activeCell="R21" sqref="R2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29.75</v>
      </c>
      <c r="F5" s="6">
        <v>29.88</v>
      </c>
      <c r="G5" s="1">
        <v>48.8</v>
      </c>
      <c r="H5" s="1">
        <v>43.6</v>
      </c>
      <c r="I5" s="1">
        <v>43.3</v>
      </c>
      <c r="J5" s="6">
        <v>57.8</v>
      </c>
      <c r="K5" s="5">
        <v>0.27100000000000002</v>
      </c>
      <c r="L5" s="6">
        <v>0.23799999999999999</v>
      </c>
      <c r="M5" s="1">
        <v>78</v>
      </c>
      <c r="N5" s="6">
        <v>84</v>
      </c>
      <c r="O5" s="1" t="s">
        <v>42</v>
      </c>
      <c r="P5" s="1">
        <v>1</v>
      </c>
      <c r="Q5" s="1" t="s">
        <v>23</v>
      </c>
      <c r="R5" s="6">
        <v>2</v>
      </c>
      <c r="S5" s="1">
        <v>10</v>
      </c>
      <c r="T5" s="1">
        <v>4</v>
      </c>
      <c r="U5" s="12" t="s">
        <v>22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29.94</v>
      </c>
      <c r="F6" s="6">
        <v>29.95</v>
      </c>
      <c r="G6" s="1">
        <v>42.5</v>
      </c>
      <c r="H6" s="1">
        <v>41.4</v>
      </c>
      <c r="I6" s="1">
        <v>40.200000000000003</v>
      </c>
      <c r="J6" s="6">
        <v>48.1</v>
      </c>
      <c r="K6" s="5">
        <v>0.19900000000000001</v>
      </c>
      <c r="L6" s="6">
        <v>0.20799999999999999</v>
      </c>
      <c r="M6" s="1">
        <v>74</v>
      </c>
      <c r="N6" s="6">
        <v>81</v>
      </c>
      <c r="O6" s="1" t="s">
        <v>24</v>
      </c>
      <c r="P6" s="1">
        <v>1</v>
      </c>
      <c r="Q6" s="1" t="s">
        <v>33</v>
      </c>
      <c r="R6" s="6">
        <v>0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29.87</v>
      </c>
      <c r="F7" s="6">
        <v>29.88</v>
      </c>
      <c r="G7" s="1">
        <v>46.8</v>
      </c>
      <c r="H7" s="1">
        <v>39.4</v>
      </c>
      <c r="I7" s="1">
        <v>34.200000000000003</v>
      </c>
      <c r="J7" s="6">
        <v>51.3</v>
      </c>
      <c r="K7" s="5">
        <v>0.20599999999999999</v>
      </c>
      <c r="L7" s="6">
        <v>0.189</v>
      </c>
      <c r="M7" s="1">
        <v>64</v>
      </c>
      <c r="N7" s="6">
        <v>79</v>
      </c>
      <c r="O7" s="1" t="s">
        <v>28</v>
      </c>
      <c r="P7" s="1">
        <v>1</v>
      </c>
      <c r="Q7" s="1" t="s">
        <v>24</v>
      </c>
      <c r="R7" s="6">
        <v>1</v>
      </c>
      <c r="S7" s="1">
        <v>9</v>
      </c>
      <c r="T7" s="1">
        <v>10</v>
      </c>
      <c r="U7" s="12">
        <v>0.03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29.88</v>
      </c>
      <c r="F8" s="6">
        <v>29.91</v>
      </c>
      <c r="G8" s="1">
        <v>42.1</v>
      </c>
      <c r="H8" s="1">
        <v>35</v>
      </c>
      <c r="I8" s="1">
        <v>29.1</v>
      </c>
      <c r="J8" s="6">
        <v>47.9</v>
      </c>
      <c r="K8" s="5">
        <v>0.188</v>
      </c>
      <c r="L8" s="6">
        <v>0.17799999999999999</v>
      </c>
      <c r="M8" s="1">
        <v>71</v>
      </c>
      <c r="N8" s="6">
        <v>87</v>
      </c>
      <c r="O8" s="1" t="s">
        <v>24</v>
      </c>
      <c r="P8" s="1">
        <v>1</v>
      </c>
      <c r="Q8" s="1" t="s">
        <v>33</v>
      </c>
      <c r="R8" s="6">
        <v>0</v>
      </c>
      <c r="S8" s="1">
        <v>6</v>
      </c>
      <c r="T8" s="1">
        <v>1</v>
      </c>
      <c r="U8" s="12" t="s">
        <v>22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29.88</v>
      </c>
      <c r="F9" s="6">
        <v>29.88</v>
      </c>
      <c r="G9" s="1">
        <v>37.6</v>
      </c>
      <c r="H9" s="1">
        <v>42.7</v>
      </c>
      <c r="I9" s="1">
        <v>30.1</v>
      </c>
      <c r="J9" s="6">
        <v>51.2</v>
      </c>
      <c r="K9" s="5">
        <v>0.187</v>
      </c>
      <c r="L9" s="6">
        <v>0.23899999999999999</v>
      </c>
      <c r="M9" s="1">
        <v>83</v>
      </c>
      <c r="N9" s="6">
        <v>87</v>
      </c>
      <c r="O9" s="1" t="s">
        <v>33</v>
      </c>
      <c r="P9" s="1">
        <v>0</v>
      </c>
      <c r="Q9" s="1" t="s">
        <v>23</v>
      </c>
      <c r="R9" s="6">
        <v>1</v>
      </c>
      <c r="S9" s="1">
        <v>10</v>
      </c>
      <c r="T9" s="1">
        <v>6</v>
      </c>
      <c r="U9" s="12" t="s">
        <v>22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29.9</v>
      </c>
      <c r="F10" s="6">
        <v>29.85</v>
      </c>
      <c r="G10" s="1">
        <v>46.6</v>
      </c>
      <c r="H10" s="1">
        <v>46.5</v>
      </c>
      <c r="I10" s="1">
        <v>41.1</v>
      </c>
      <c r="J10" s="6">
        <v>61.2</v>
      </c>
      <c r="K10" s="5">
        <v>0.27300000000000002</v>
      </c>
      <c r="L10" s="6">
        <v>0.26600000000000001</v>
      </c>
      <c r="M10" s="1">
        <v>87</v>
      </c>
      <c r="N10" s="6">
        <v>85</v>
      </c>
      <c r="O10" s="1" t="s">
        <v>24</v>
      </c>
      <c r="P10" s="1">
        <v>1</v>
      </c>
      <c r="Q10" s="1" t="s">
        <v>24</v>
      </c>
      <c r="R10" s="6">
        <v>4</v>
      </c>
      <c r="S10" s="1">
        <v>10</v>
      </c>
      <c r="T10" s="1">
        <v>7</v>
      </c>
      <c r="U10" s="12">
        <v>0.05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29.7</v>
      </c>
      <c r="F11" s="6">
        <v>29.68</v>
      </c>
      <c r="G11" s="1">
        <v>43.7</v>
      </c>
      <c r="H11" s="1">
        <v>41.9</v>
      </c>
      <c r="I11" s="1">
        <v>41.2</v>
      </c>
      <c r="J11" s="6">
        <v>55.4</v>
      </c>
      <c r="K11" s="5">
        <v>0.26700000000000002</v>
      </c>
      <c r="L11" s="6">
        <v>0.23899999999999999</v>
      </c>
      <c r="M11" s="1">
        <v>93</v>
      </c>
      <c r="N11" s="6">
        <v>91</v>
      </c>
      <c r="O11" s="1" t="s">
        <v>23</v>
      </c>
      <c r="P11" s="1">
        <v>1</v>
      </c>
      <c r="Q11" s="1" t="s">
        <v>33</v>
      </c>
      <c r="R11" s="6">
        <v>0</v>
      </c>
      <c r="S11" s="1">
        <v>10</v>
      </c>
      <c r="T11" s="1">
        <v>0</v>
      </c>
      <c r="U11" s="12">
        <v>0.21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29.6</v>
      </c>
      <c r="F12" s="6">
        <v>29.54</v>
      </c>
      <c r="G12" s="1">
        <v>45.7</v>
      </c>
      <c r="H12" s="1">
        <v>44.6</v>
      </c>
      <c r="I12" s="1">
        <v>33.9</v>
      </c>
      <c r="J12" s="6">
        <v>49.3</v>
      </c>
      <c r="K12" s="5">
        <v>0.27700000000000002</v>
      </c>
      <c r="L12" s="6">
        <v>0.252</v>
      </c>
      <c r="M12" s="1">
        <v>91</v>
      </c>
      <c r="N12" s="6">
        <v>86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29.54</v>
      </c>
      <c r="F13" s="6">
        <v>29.61</v>
      </c>
      <c r="G13" s="1">
        <v>44</v>
      </c>
      <c r="H13" s="1">
        <v>40.700000000000003</v>
      </c>
      <c r="I13" s="1">
        <v>38.799999999999997</v>
      </c>
      <c r="J13" s="6">
        <v>45.2</v>
      </c>
      <c r="K13" s="5">
        <v>0.254</v>
      </c>
      <c r="L13" s="6">
        <v>0.217</v>
      </c>
      <c r="M13" s="1">
        <v>88</v>
      </c>
      <c r="N13" s="6">
        <v>85</v>
      </c>
      <c r="O13" s="1" t="s">
        <v>23</v>
      </c>
      <c r="P13" s="1">
        <v>1</v>
      </c>
      <c r="Q13" s="1" t="s">
        <v>42</v>
      </c>
      <c r="R13" s="6">
        <v>1</v>
      </c>
      <c r="S13" s="1">
        <v>10</v>
      </c>
      <c r="T13" s="1">
        <v>10</v>
      </c>
      <c r="U13" s="12">
        <v>0.33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29.66</v>
      </c>
      <c r="F14" s="6">
        <v>29.78</v>
      </c>
      <c r="G14" s="1">
        <v>34.9</v>
      </c>
      <c r="H14" s="1">
        <v>38.5</v>
      </c>
      <c r="I14" s="1">
        <v>33</v>
      </c>
      <c r="J14" s="6">
        <v>45.1</v>
      </c>
      <c r="K14" s="5">
        <v>0.20300000000000001</v>
      </c>
      <c r="L14" s="6">
        <v>0.22700000000000001</v>
      </c>
      <c r="M14" s="1">
        <v>100</v>
      </c>
      <c r="N14" s="6">
        <v>98</v>
      </c>
      <c r="O14" s="1" t="s">
        <v>33</v>
      </c>
      <c r="P14" s="1">
        <v>0</v>
      </c>
      <c r="Q14" s="1" t="s">
        <v>33</v>
      </c>
      <c r="R14" s="6">
        <v>0</v>
      </c>
      <c r="S14" s="1">
        <v>10</v>
      </c>
      <c r="T14" s="1">
        <v>6</v>
      </c>
      <c r="U14" s="12">
        <v>0.14000000000000001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29.91</v>
      </c>
      <c r="F15" s="6">
        <v>29.95</v>
      </c>
      <c r="G15" s="1">
        <v>47.7</v>
      </c>
      <c r="H15" s="1">
        <v>40.9</v>
      </c>
      <c r="I15" s="1">
        <v>34.200000000000003</v>
      </c>
      <c r="J15" s="6">
        <v>49.9</v>
      </c>
      <c r="K15" s="5">
        <v>0.23699999999999999</v>
      </c>
      <c r="L15" s="6">
        <v>0.247</v>
      </c>
      <c r="M15" s="1">
        <v>72</v>
      </c>
      <c r="N15" s="6">
        <v>97</v>
      </c>
      <c r="O15" s="1" t="s">
        <v>26</v>
      </c>
      <c r="P15" s="1">
        <v>1</v>
      </c>
      <c r="Q15" s="1" t="s">
        <v>29</v>
      </c>
      <c r="R15" s="6">
        <v>1</v>
      </c>
      <c r="S15" s="1">
        <v>7</v>
      </c>
      <c r="T15" s="1">
        <v>10</v>
      </c>
      <c r="U15" s="12">
        <v>0.57999999999999996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29.79</v>
      </c>
      <c r="F16" s="6">
        <v>29.94</v>
      </c>
      <c r="G16" s="1">
        <v>50.9</v>
      </c>
      <c r="H16" s="1">
        <v>50.9</v>
      </c>
      <c r="I16" s="1">
        <v>40.299999999999997</v>
      </c>
      <c r="J16" s="6">
        <v>55.7</v>
      </c>
      <c r="K16" s="5">
        <v>0.36199999999999999</v>
      </c>
      <c r="L16" s="6">
        <v>0.35199999999999998</v>
      </c>
      <c r="M16" s="1">
        <v>98</v>
      </c>
      <c r="N16" s="6">
        <v>95</v>
      </c>
      <c r="O16" s="1" t="s">
        <v>25</v>
      </c>
      <c r="P16" s="1">
        <v>2</v>
      </c>
      <c r="Q16" s="1" t="s">
        <v>25</v>
      </c>
      <c r="R16" s="6">
        <v>2</v>
      </c>
      <c r="S16" s="1">
        <v>10</v>
      </c>
      <c r="T16" s="1">
        <v>10</v>
      </c>
      <c r="U16" s="12">
        <v>0.01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29.93</v>
      </c>
      <c r="F17" s="6">
        <v>29.89</v>
      </c>
      <c r="G17" s="1">
        <v>57.4</v>
      </c>
      <c r="H17" s="1">
        <v>53.5</v>
      </c>
      <c r="I17" s="1">
        <v>49.9</v>
      </c>
      <c r="J17" s="6">
        <v>63.9</v>
      </c>
      <c r="K17" s="5">
        <v>0.34899999999999998</v>
      </c>
      <c r="L17" s="6">
        <v>0.36</v>
      </c>
      <c r="M17" s="1">
        <v>74</v>
      </c>
      <c r="N17" s="6">
        <v>88</v>
      </c>
      <c r="O17" s="1" t="s">
        <v>25</v>
      </c>
      <c r="P17" s="1">
        <v>3</v>
      </c>
      <c r="Q17" s="1" t="s">
        <v>25</v>
      </c>
      <c r="R17" s="6">
        <v>1</v>
      </c>
      <c r="S17" s="1">
        <v>4</v>
      </c>
      <c r="T17" s="1">
        <v>10</v>
      </c>
      <c r="U17" s="12">
        <v>0.03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29.9</v>
      </c>
      <c r="F18" s="6">
        <v>29.97</v>
      </c>
      <c r="G18" s="1">
        <v>54.5</v>
      </c>
      <c r="H18" s="1">
        <v>51.8</v>
      </c>
      <c r="I18" s="1">
        <v>50.9</v>
      </c>
      <c r="J18" s="6">
        <v>58.1</v>
      </c>
      <c r="K18" s="5">
        <v>0.38400000000000001</v>
      </c>
      <c r="L18" s="6">
        <v>0.36399999999999999</v>
      </c>
      <c r="M18" s="1">
        <v>91</v>
      </c>
      <c r="N18" s="6">
        <v>94</v>
      </c>
      <c r="O18" s="1" t="s">
        <v>25</v>
      </c>
      <c r="P18" s="1">
        <v>2</v>
      </c>
      <c r="Q18" s="1" t="s">
        <v>33</v>
      </c>
      <c r="R18" s="6">
        <v>0</v>
      </c>
      <c r="S18" s="1">
        <v>10</v>
      </c>
      <c r="T18" s="1">
        <v>10</v>
      </c>
      <c r="U18" s="12">
        <v>0.05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30.09</v>
      </c>
      <c r="F19" s="6">
        <v>30.21</v>
      </c>
      <c r="G19" s="1">
        <v>62.5</v>
      </c>
      <c r="H19" s="1">
        <v>55.5</v>
      </c>
      <c r="I19" s="1">
        <v>47.4</v>
      </c>
      <c r="J19" s="6">
        <v>63.9</v>
      </c>
      <c r="K19" s="5">
        <v>0.36199999999999999</v>
      </c>
      <c r="L19" s="6">
        <v>0.36399999999999999</v>
      </c>
      <c r="M19" s="1">
        <v>64</v>
      </c>
      <c r="N19" s="6">
        <v>83</v>
      </c>
      <c r="O19" s="1" t="s">
        <v>33</v>
      </c>
      <c r="P19" s="1">
        <v>0</v>
      </c>
      <c r="Q19" s="1" t="s">
        <v>33</v>
      </c>
      <c r="R19" s="6">
        <v>0</v>
      </c>
      <c r="S19" s="1">
        <v>8</v>
      </c>
      <c r="T19" s="1">
        <v>5</v>
      </c>
      <c r="U19" s="12">
        <v>0.01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30.31</v>
      </c>
      <c r="F20" s="6">
        <v>30.34</v>
      </c>
      <c r="G20" s="1">
        <v>62.7</v>
      </c>
      <c r="H20" s="1">
        <v>58.2</v>
      </c>
      <c r="I20" s="1">
        <v>50.2</v>
      </c>
      <c r="J20" s="6">
        <v>69.099999999999994</v>
      </c>
      <c r="K20" s="5">
        <v>0.38200000000000001</v>
      </c>
      <c r="L20" s="6">
        <v>0.35599999999999998</v>
      </c>
      <c r="M20" s="1">
        <v>68</v>
      </c>
      <c r="N20" s="6">
        <v>74</v>
      </c>
      <c r="O20" s="1" t="s">
        <v>23</v>
      </c>
      <c r="P20" s="1">
        <v>1</v>
      </c>
      <c r="Q20" s="1" t="s">
        <v>24</v>
      </c>
      <c r="R20" s="6">
        <v>3</v>
      </c>
      <c r="S20" s="1">
        <v>7</v>
      </c>
      <c r="T20" s="1">
        <v>0</v>
      </c>
      <c r="U20" s="12" t="s">
        <v>22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30.4</v>
      </c>
      <c r="F21" s="6">
        <v>30.34</v>
      </c>
      <c r="G21" s="1">
        <v>60.8</v>
      </c>
      <c r="H21" s="1">
        <v>58.3</v>
      </c>
      <c r="I21" s="1">
        <v>46.7</v>
      </c>
      <c r="J21" s="6">
        <v>69.900000000000006</v>
      </c>
      <c r="K21" s="5">
        <v>0.32900000000000001</v>
      </c>
      <c r="L21" s="6">
        <v>0.39100000000000001</v>
      </c>
      <c r="M21" s="1">
        <v>62</v>
      </c>
      <c r="N21" s="6">
        <v>81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30.32</v>
      </c>
      <c r="F22" s="6">
        <v>30.18</v>
      </c>
      <c r="G22" s="1">
        <v>55.9</v>
      </c>
      <c r="H22" s="1">
        <v>51.6</v>
      </c>
      <c r="I22" s="1">
        <v>48</v>
      </c>
      <c r="J22" s="6">
        <v>61.4</v>
      </c>
      <c r="K22" s="5">
        <v>0.28000000000000003</v>
      </c>
      <c r="L22" s="6">
        <v>0.28699999999999998</v>
      </c>
      <c r="M22" s="1">
        <v>63</v>
      </c>
      <c r="N22" s="6">
        <v>75</v>
      </c>
      <c r="O22" s="1" t="s">
        <v>28</v>
      </c>
      <c r="P22" s="1">
        <v>1</v>
      </c>
      <c r="Q22" s="1" t="s">
        <v>33</v>
      </c>
      <c r="R22" s="6">
        <v>0</v>
      </c>
      <c r="S22" s="1">
        <v>7</v>
      </c>
      <c r="T22" s="1">
        <v>9</v>
      </c>
      <c r="U22" s="12" t="s">
        <v>22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30.09</v>
      </c>
      <c r="F23" s="6">
        <v>30.06</v>
      </c>
      <c r="G23" s="1">
        <v>52.8</v>
      </c>
      <c r="H23" s="1">
        <v>50.8</v>
      </c>
      <c r="I23" s="1">
        <v>45.5</v>
      </c>
      <c r="J23" s="6">
        <v>58.2</v>
      </c>
      <c r="K23" s="5">
        <v>0.29699999999999999</v>
      </c>
      <c r="L23" s="6">
        <v>0.317</v>
      </c>
      <c r="M23" s="1">
        <v>74</v>
      </c>
      <c r="N23" s="6">
        <v>85</v>
      </c>
      <c r="O23" s="1" t="s">
        <v>27</v>
      </c>
      <c r="P23" s="1">
        <v>2</v>
      </c>
      <c r="Q23" s="1" t="s">
        <v>33</v>
      </c>
      <c r="R23" s="6">
        <v>0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30.06</v>
      </c>
      <c r="F24" s="6">
        <v>30.11</v>
      </c>
      <c r="G24" s="1">
        <v>52.7</v>
      </c>
      <c r="H24" s="1">
        <v>51.4</v>
      </c>
      <c r="I24" s="1">
        <v>48.6</v>
      </c>
      <c r="J24" s="6">
        <v>57.9</v>
      </c>
      <c r="K24" s="5">
        <v>0.37</v>
      </c>
      <c r="L24" s="6">
        <v>0.374</v>
      </c>
      <c r="M24" s="1">
        <v>93</v>
      </c>
      <c r="N24" s="6">
        <v>98</v>
      </c>
      <c r="O24" s="1" t="s">
        <v>26</v>
      </c>
      <c r="P24" s="1">
        <v>1</v>
      </c>
      <c r="Q24" s="1" t="s">
        <v>33</v>
      </c>
      <c r="R24" s="6">
        <v>0</v>
      </c>
      <c r="S24" s="1">
        <v>10</v>
      </c>
      <c r="T24" s="1">
        <v>10</v>
      </c>
      <c r="U24" s="12">
        <v>0.04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30.2</v>
      </c>
      <c r="F25" s="6">
        <v>30.2</v>
      </c>
      <c r="G25" s="1">
        <v>51.7</v>
      </c>
      <c r="H25" s="1">
        <v>53.7</v>
      </c>
      <c r="I25" s="1">
        <v>48.6</v>
      </c>
      <c r="J25" s="6">
        <v>63.1</v>
      </c>
      <c r="K25" s="5">
        <v>0.315</v>
      </c>
      <c r="L25" s="6">
        <v>0.32500000000000001</v>
      </c>
      <c r="M25" s="1">
        <v>82</v>
      </c>
      <c r="N25" s="6">
        <v>78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30.18</v>
      </c>
      <c r="F26" s="6">
        <v>30.17</v>
      </c>
      <c r="G26" s="1">
        <v>62.5</v>
      </c>
      <c r="H26" s="1">
        <v>55.8</v>
      </c>
      <c r="I26" s="1">
        <v>49.1</v>
      </c>
      <c r="J26" s="6">
        <v>71.099999999999994</v>
      </c>
      <c r="K26" s="5">
        <v>0.30399999999999999</v>
      </c>
      <c r="L26" s="6">
        <v>0.36199999999999999</v>
      </c>
      <c r="M26" s="1">
        <v>54</v>
      </c>
      <c r="N26" s="6">
        <v>81</v>
      </c>
      <c r="O26" s="1" t="s">
        <v>33</v>
      </c>
      <c r="P26" s="1">
        <v>0</v>
      </c>
      <c r="Q26" s="1" t="s">
        <v>33</v>
      </c>
      <c r="R26" s="6">
        <v>0</v>
      </c>
      <c r="S26" s="1">
        <v>0</v>
      </c>
      <c r="T26" s="1">
        <v>1</v>
      </c>
      <c r="U26" s="12" t="s">
        <v>22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30.16</v>
      </c>
      <c r="F27" s="6">
        <v>30.15</v>
      </c>
      <c r="G27" s="1">
        <v>65.099999999999994</v>
      </c>
      <c r="H27" s="1">
        <v>52.8</v>
      </c>
      <c r="I27" s="1">
        <v>47.9</v>
      </c>
      <c r="J27" s="6">
        <v>71.099999999999994</v>
      </c>
      <c r="K27" s="5">
        <v>0.41</v>
      </c>
      <c r="L27" s="6">
        <v>0.313</v>
      </c>
      <c r="M27" s="1">
        <v>67</v>
      </c>
      <c r="N27" s="6">
        <v>78</v>
      </c>
      <c r="O27" s="1" t="s">
        <v>43</v>
      </c>
      <c r="P27" s="1">
        <v>1</v>
      </c>
      <c r="Q27" s="1" t="s">
        <v>33</v>
      </c>
      <c r="R27" s="6">
        <v>0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30.12</v>
      </c>
      <c r="F28" s="6">
        <v>30.08</v>
      </c>
      <c r="G28" s="1">
        <v>61.1</v>
      </c>
      <c r="H28" s="1">
        <v>51.7</v>
      </c>
      <c r="I28" s="1">
        <v>43.3</v>
      </c>
      <c r="J28" s="6">
        <v>70.2</v>
      </c>
      <c r="K28" s="5">
        <v>0.36399999999999999</v>
      </c>
      <c r="L28" s="6">
        <v>0.34399999999999997</v>
      </c>
      <c r="M28" s="1">
        <v>69</v>
      </c>
      <c r="N28" s="6">
        <v>89</v>
      </c>
      <c r="O28" s="1" t="s">
        <v>26</v>
      </c>
      <c r="P28" s="1">
        <v>1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29.95</v>
      </c>
      <c r="F29" s="6">
        <v>29.72</v>
      </c>
      <c r="G29" s="1">
        <v>59.7</v>
      </c>
      <c r="H29" s="1">
        <v>56.7</v>
      </c>
      <c r="I29" s="1">
        <v>41.4</v>
      </c>
      <c r="J29" s="6">
        <v>65.900000000000006</v>
      </c>
      <c r="K29" s="5">
        <v>0.36</v>
      </c>
      <c r="L29" s="6">
        <v>0.43</v>
      </c>
      <c r="M29" s="1">
        <v>71</v>
      </c>
      <c r="N29" s="6">
        <v>93</v>
      </c>
      <c r="O29" s="1" t="s">
        <v>33</v>
      </c>
      <c r="P29" s="1">
        <v>0</v>
      </c>
      <c r="Q29" s="1" t="s">
        <v>33</v>
      </c>
      <c r="R29" s="6">
        <v>0</v>
      </c>
      <c r="S29" s="1">
        <v>9</v>
      </c>
      <c r="T29" s="1">
        <v>0</v>
      </c>
      <c r="U29" s="12">
        <v>0.22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29.62</v>
      </c>
      <c r="F30" s="6">
        <v>29.8</v>
      </c>
      <c r="G30" s="1">
        <v>54.6</v>
      </c>
      <c r="H30" s="1">
        <v>50.5</v>
      </c>
      <c r="I30" s="1">
        <v>50</v>
      </c>
      <c r="J30" s="6">
        <v>58</v>
      </c>
      <c r="K30" s="5">
        <v>0.41199999999999998</v>
      </c>
      <c r="L30" s="6">
        <v>0.316</v>
      </c>
      <c r="M30" s="1">
        <v>97</v>
      </c>
      <c r="N30" s="6">
        <v>87</v>
      </c>
      <c r="O30" s="1" t="s">
        <v>33</v>
      </c>
      <c r="P30" s="1">
        <v>0</v>
      </c>
      <c r="Q30" s="1" t="s">
        <v>33</v>
      </c>
      <c r="R30" s="6">
        <v>0</v>
      </c>
      <c r="S30" s="1">
        <v>10</v>
      </c>
      <c r="T30" s="1">
        <v>10</v>
      </c>
      <c r="U30" s="12">
        <v>0.28000000000000003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30</v>
      </c>
      <c r="F31" s="6">
        <v>30.05</v>
      </c>
      <c r="G31" s="1">
        <v>54</v>
      </c>
      <c r="H31" s="1">
        <v>51.2</v>
      </c>
      <c r="I31" s="1">
        <v>38.299999999999997</v>
      </c>
      <c r="J31" s="6">
        <v>62.8</v>
      </c>
      <c r="K31" s="5">
        <v>0.26400000000000001</v>
      </c>
      <c r="L31" s="6">
        <v>0.29599999999999999</v>
      </c>
      <c r="M31" s="1">
        <v>63</v>
      </c>
      <c r="N31" s="6">
        <v>79</v>
      </c>
      <c r="O31" s="1" t="s">
        <v>28</v>
      </c>
      <c r="P31" s="1">
        <v>1</v>
      </c>
      <c r="Q31" s="1" t="s">
        <v>33</v>
      </c>
      <c r="R31" s="6">
        <v>0</v>
      </c>
      <c r="S31" s="1">
        <v>3</v>
      </c>
      <c r="T31" s="1">
        <v>4</v>
      </c>
      <c r="U31" s="12" t="s">
        <v>22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30.06</v>
      </c>
      <c r="F32" s="6">
        <v>30.05</v>
      </c>
      <c r="G32" s="1">
        <v>57.2</v>
      </c>
      <c r="H32" s="1">
        <v>53.3</v>
      </c>
      <c r="I32" s="1">
        <v>43.2</v>
      </c>
      <c r="J32" s="6">
        <v>64.3</v>
      </c>
      <c r="K32" s="5">
        <v>0.33800000000000002</v>
      </c>
      <c r="L32" s="6">
        <v>0.33100000000000002</v>
      </c>
      <c r="M32" s="1">
        <v>72</v>
      </c>
      <c r="N32" s="6">
        <v>81</v>
      </c>
      <c r="O32" s="1" t="s">
        <v>25</v>
      </c>
      <c r="P32" s="1">
        <v>1</v>
      </c>
      <c r="Q32" s="1" t="s">
        <v>25</v>
      </c>
      <c r="R32" s="6">
        <v>2</v>
      </c>
      <c r="S32" s="1">
        <v>8</v>
      </c>
      <c r="T32" s="1">
        <v>10</v>
      </c>
      <c r="U32" s="12" t="s">
        <v>22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29.99</v>
      </c>
      <c r="F33" s="6">
        <v>30.12</v>
      </c>
      <c r="G33" s="1">
        <v>55.9</v>
      </c>
      <c r="H33" s="1">
        <v>49.6</v>
      </c>
      <c r="I33" s="1">
        <v>49.6</v>
      </c>
      <c r="J33" s="6">
        <v>62.3</v>
      </c>
      <c r="K33" s="5">
        <v>0.40899999999999997</v>
      </c>
      <c r="L33" s="6">
        <v>0.27900000000000003</v>
      </c>
      <c r="M33" s="1">
        <v>92</v>
      </c>
      <c r="N33" s="6">
        <v>79</v>
      </c>
      <c r="O33" s="1" t="s">
        <v>39</v>
      </c>
      <c r="P33" s="1">
        <v>2</v>
      </c>
      <c r="Q33" s="1" t="s">
        <v>33</v>
      </c>
      <c r="R33" s="6">
        <v>0</v>
      </c>
      <c r="S33" s="1">
        <v>10</v>
      </c>
      <c r="T33" s="1">
        <v>10</v>
      </c>
      <c r="U33" s="12">
        <v>0.01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30.21</v>
      </c>
      <c r="F34" s="6">
        <v>30.26</v>
      </c>
      <c r="G34" s="1">
        <v>56.6</v>
      </c>
      <c r="H34" s="1">
        <v>49.5</v>
      </c>
      <c r="I34" s="1">
        <v>40.200000000000003</v>
      </c>
      <c r="J34" s="6">
        <v>66.3</v>
      </c>
      <c r="K34" s="5">
        <v>0.30299999999999999</v>
      </c>
      <c r="L34" s="6">
        <v>0.28000000000000003</v>
      </c>
      <c r="M34" s="1">
        <v>66</v>
      </c>
      <c r="N34" s="6">
        <v>80</v>
      </c>
      <c r="O34" s="1" t="s">
        <v>26</v>
      </c>
      <c r="P34" s="1">
        <v>1</v>
      </c>
      <c r="Q34" s="1" t="s">
        <v>33</v>
      </c>
      <c r="R34" s="6">
        <v>0</v>
      </c>
      <c r="S34" s="1">
        <v>6</v>
      </c>
      <c r="T34" s="1">
        <v>0</v>
      </c>
      <c r="U34" s="12" t="s">
        <v>22</v>
      </c>
    </row>
    <row r="35" spans="1:21" s="1" customFormat="1">
      <c r="A35" s="5" t="s">
        <v>70</v>
      </c>
      <c r="B35" s="1">
        <v>1883</v>
      </c>
      <c r="C35" s="1" t="s">
        <v>20</v>
      </c>
      <c r="D35" s="8">
        <v>31</v>
      </c>
      <c r="E35" s="7">
        <v>30.23</v>
      </c>
      <c r="F35" s="9">
        <v>30.16</v>
      </c>
      <c r="G35" s="8">
        <v>59.7</v>
      </c>
      <c r="H35" s="8">
        <v>51.8</v>
      </c>
      <c r="I35" s="8">
        <v>39.1</v>
      </c>
      <c r="J35" s="9">
        <v>66.3</v>
      </c>
      <c r="K35" s="7">
        <v>0.29599999999999999</v>
      </c>
      <c r="L35" s="9">
        <v>0.30299999999999999</v>
      </c>
      <c r="M35" s="8">
        <v>58</v>
      </c>
      <c r="N35" s="9">
        <v>79</v>
      </c>
      <c r="O35" s="8" t="s">
        <v>29</v>
      </c>
      <c r="P35" s="8">
        <v>2</v>
      </c>
      <c r="Q35" s="8" t="s">
        <v>33</v>
      </c>
      <c r="R35" s="9">
        <v>0</v>
      </c>
      <c r="S35" s="8">
        <v>0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29.975000000000001</v>
      </c>
      <c r="F36" s="16">
        <v>29.99</v>
      </c>
      <c r="G36" s="14">
        <v>52.5</v>
      </c>
      <c r="H36" s="15">
        <v>48.8</v>
      </c>
      <c r="I36" s="15">
        <v>42.5</v>
      </c>
      <c r="J36" s="16">
        <v>59.4</v>
      </c>
      <c r="K36" s="15">
        <v>0.30499999999999999</v>
      </c>
      <c r="L36" s="15">
        <v>0.29799999999999999</v>
      </c>
      <c r="M36" s="14">
        <v>76.7</v>
      </c>
      <c r="N36" s="16">
        <v>85.1</v>
      </c>
      <c r="O36" s="14" t="s">
        <v>22</v>
      </c>
      <c r="P36" s="15">
        <v>0.9</v>
      </c>
      <c r="Q36" s="15" t="s">
        <v>22</v>
      </c>
      <c r="R36" s="16">
        <v>0.5</v>
      </c>
      <c r="S36" s="14">
        <v>7.5</v>
      </c>
      <c r="T36" s="16">
        <v>6.3</v>
      </c>
      <c r="U36" s="17">
        <v>2</v>
      </c>
    </row>
    <row r="37" spans="1:21">
      <c r="R37">
        <f>SUM(R5:R35)/31</f>
        <v>0.58064516129032262</v>
      </c>
      <c r="U37">
        <f>SUM(U5:U35)</f>
        <v>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N2" workbookViewId="0">
      <selection activeCell="V6" sqref="V6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29.72</v>
      </c>
      <c r="F5" s="6">
        <v>29.8</v>
      </c>
      <c r="G5" s="1">
        <v>49.4</v>
      </c>
      <c r="H5" s="1">
        <v>43</v>
      </c>
      <c r="I5" s="1">
        <v>42.3</v>
      </c>
      <c r="J5" s="6">
        <v>53.5</v>
      </c>
      <c r="K5" s="5">
        <v>0.317</v>
      </c>
      <c r="L5" s="6">
        <v>0.26200000000000001</v>
      </c>
      <c r="M5" s="1">
        <v>90</v>
      </c>
      <c r="N5" s="6">
        <v>94</v>
      </c>
      <c r="O5" s="1" t="s">
        <v>23</v>
      </c>
      <c r="P5" s="1">
        <v>1</v>
      </c>
      <c r="Q5" s="1" t="s">
        <v>28</v>
      </c>
      <c r="R5" s="6">
        <v>3</v>
      </c>
      <c r="S5" s="1">
        <v>4</v>
      </c>
      <c r="T5" s="1">
        <v>9</v>
      </c>
      <c r="U5" s="12" t="s">
        <v>22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29.87</v>
      </c>
      <c r="F6" s="6">
        <v>29.86</v>
      </c>
      <c r="G6" s="1">
        <v>43</v>
      </c>
      <c r="H6" s="1">
        <v>42.7</v>
      </c>
      <c r="I6" s="1">
        <v>41.9</v>
      </c>
      <c r="J6" s="6">
        <v>46</v>
      </c>
      <c r="K6" s="5">
        <v>0.19900000000000001</v>
      </c>
      <c r="L6" s="6">
        <v>0.20699999999999999</v>
      </c>
      <c r="M6" s="1">
        <v>72</v>
      </c>
      <c r="N6" s="6">
        <v>76</v>
      </c>
      <c r="O6" s="1" t="s">
        <v>28</v>
      </c>
      <c r="P6" s="1">
        <v>2</v>
      </c>
      <c r="Q6" s="1" t="s">
        <v>27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29.82</v>
      </c>
      <c r="F7" s="6">
        <v>29.83</v>
      </c>
      <c r="G7" s="1">
        <v>44.9</v>
      </c>
      <c r="H7" s="1">
        <v>41.2</v>
      </c>
      <c r="I7" s="1">
        <v>40.200000000000003</v>
      </c>
      <c r="J7" s="6">
        <v>50.7</v>
      </c>
      <c r="K7" s="5">
        <v>0.214</v>
      </c>
      <c r="L7" s="6">
        <v>0.20499999999999999</v>
      </c>
      <c r="M7" s="1">
        <v>72</v>
      </c>
      <c r="N7" s="6">
        <v>80</v>
      </c>
      <c r="O7" s="1" t="s">
        <v>28</v>
      </c>
      <c r="P7" s="1">
        <v>2</v>
      </c>
      <c r="Q7" s="1" t="s">
        <v>35</v>
      </c>
      <c r="R7" s="6">
        <v>2</v>
      </c>
      <c r="S7" s="1">
        <v>4</v>
      </c>
      <c r="T7" s="1">
        <v>3</v>
      </c>
      <c r="U7" s="12" t="s">
        <v>22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29.83</v>
      </c>
      <c r="F8" s="6">
        <v>29.84</v>
      </c>
      <c r="G8" s="1">
        <v>42.8</v>
      </c>
      <c r="H8" s="1">
        <v>39.1</v>
      </c>
      <c r="I8" s="1">
        <v>38.5</v>
      </c>
      <c r="J8" s="6">
        <v>46.5</v>
      </c>
      <c r="K8" s="5">
        <v>0.17799999999999999</v>
      </c>
      <c r="L8" s="6">
        <v>0.17199999999999999</v>
      </c>
      <c r="M8" s="1">
        <v>64</v>
      </c>
      <c r="N8" s="6">
        <v>73</v>
      </c>
      <c r="O8" s="1" t="s">
        <v>28</v>
      </c>
      <c r="P8" s="1">
        <v>1</v>
      </c>
      <c r="Q8" s="1" t="s">
        <v>28</v>
      </c>
      <c r="R8" s="6">
        <v>1</v>
      </c>
      <c r="S8" s="1">
        <v>2</v>
      </c>
      <c r="T8" s="1">
        <v>0</v>
      </c>
      <c r="U8" s="12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29.82</v>
      </c>
      <c r="F9" s="6">
        <v>29.82</v>
      </c>
      <c r="G9" s="1">
        <v>44.7</v>
      </c>
      <c r="H9" s="1">
        <v>45.5</v>
      </c>
      <c r="I9" s="1">
        <v>38.200000000000003</v>
      </c>
      <c r="J9" s="6">
        <v>50</v>
      </c>
      <c r="K9" s="5">
        <v>0.23499999999999999</v>
      </c>
      <c r="L9" s="6">
        <v>0.28399999999999997</v>
      </c>
      <c r="M9" s="1">
        <v>79</v>
      </c>
      <c r="N9" s="6">
        <v>94</v>
      </c>
      <c r="O9" s="1" t="s">
        <v>28</v>
      </c>
      <c r="P9" s="1">
        <v>1</v>
      </c>
      <c r="Q9" s="1" t="s">
        <v>24</v>
      </c>
      <c r="R9" s="6">
        <v>3</v>
      </c>
      <c r="S9" s="1">
        <v>8</v>
      </c>
      <c r="T9" s="1">
        <v>10</v>
      </c>
      <c r="U9" s="12">
        <v>0.02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29.83</v>
      </c>
      <c r="F10" s="6">
        <v>29.81</v>
      </c>
      <c r="G10" s="1">
        <v>49.7</v>
      </c>
      <c r="H10" s="1">
        <v>48.1</v>
      </c>
      <c r="I10" s="1">
        <v>45.2</v>
      </c>
      <c r="J10" s="6">
        <v>53.5</v>
      </c>
      <c r="K10" s="5">
        <v>0.30599999999999999</v>
      </c>
      <c r="L10" s="6">
        <v>0.30599999999999999</v>
      </c>
      <c r="M10" s="1">
        <v>86</v>
      </c>
      <c r="N10" s="6">
        <v>91</v>
      </c>
      <c r="O10" s="1" t="s">
        <v>24</v>
      </c>
      <c r="P10" s="1">
        <v>2</v>
      </c>
      <c r="Q10" s="1" t="s">
        <v>24</v>
      </c>
      <c r="R10" s="6">
        <v>3</v>
      </c>
      <c r="S10" s="1">
        <v>7</v>
      </c>
      <c r="T10" s="1">
        <v>6</v>
      </c>
      <c r="U10" s="12" t="s">
        <v>22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29.69</v>
      </c>
      <c r="F11" s="6">
        <v>29.68</v>
      </c>
      <c r="G11" s="1">
        <v>54.4</v>
      </c>
      <c r="H11" s="1">
        <v>46.2</v>
      </c>
      <c r="I11" s="1">
        <v>46.1</v>
      </c>
      <c r="J11" s="6">
        <v>58</v>
      </c>
      <c r="K11" s="5">
        <v>0.34499999999999997</v>
      </c>
      <c r="L11" s="6">
        <v>0.27700000000000002</v>
      </c>
      <c r="M11" s="1">
        <v>82</v>
      </c>
      <c r="N11" s="6">
        <v>90</v>
      </c>
      <c r="O11" s="1" t="s">
        <v>38</v>
      </c>
      <c r="P11" s="1">
        <v>2</v>
      </c>
      <c r="Q11" s="1" t="s">
        <v>33</v>
      </c>
      <c r="R11" s="6">
        <v>0</v>
      </c>
      <c r="S11" s="1">
        <v>10</v>
      </c>
      <c r="T11" s="1">
        <v>0</v>
      </c>
      <c r="U11" s="12">
        <v>0.18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29.6</v>
      </c>
      <c r="F12" s="6">
        <v>29.5</v>
      </c>
      <c r="G12" s="1">
        <v>46.4</v>
      </c>
      <c r="H12" s="1">
        <v>46.4</v>
      </c>
      <c r="I12" s="1">
        <v>42.1</v>
      </c>
      <c r="J12" s="6">
        <v>49</v>
      </c>
      <c r="K12" s="5">
        <v>0.30299999999999999</v>
      </c>
      <c r="L12" s="6">
        <v>0.30299999999999999</v>
      </c>
      <c r="M12" s="1">
        <v>96</v>
      </c>
      <c r="N12" s="6">
        <v>96</v>
      </c>
      <c r="O12" s="1" t="s">
        <v>28</v>
      </c>
      <c r="P12" s="1">
        <v>1</v>
      </c>
      <c r="Q12" s="1" t="s">
        <v>28</v>
      </c>
      <c r="R12" s="6">
        <v>1</v>
      </c>
      <c r="S12" s="1">
        <v>10</v>
      </c>
      <c r="T12" s="1">
        <v>10</v>
      </c>
      <c r="U12" s="12">
        <v>0.08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29.51</v>
      </c>
      <c r="F13" s="6">
        <v>29.58</v>
      </c>
      <c r="G13" s="1">
        <v>48.7</v>
      </c>
      <c r="H13" s="1">
        <v>43.9</v>
      </c>
      <c r="I13" s="1">
        <v>43.6</v>
      </c>
      <c r="J13" s="6">
        <v>49.3</v>
      </c>
      <c r="K13" s="5">
        <v>0.316</v>
      </c>
      <c r="L13" s="6">
        <v>0.27900000000000003</v>
      </c>
      <c r="M13" s="1">
        <v>92</v>
      </c>
      <c r="N13" s="6">
        <v>98</v>
      </c>
      <c r="O13" s="1" t="s">
        <v>35</v>
      </c>
      <c r="P13" s="1">
        <v>2</v>
      </c>
      <c r="Q13" s="1" t="s">
        <v>33</v>
      </c>
      <c r="R13" s="6">
        <v>0</v>
      </c>
      <c r="S13" s="1">
        <v>10</v>
      </c>
      <c r="T13" s="1">
        <v>10</v>
      </c>
      <c r="U13" s="12">
        <v>0.17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29.61</v>
      </c>
      <c r="F14" s="6">
        <v>29.72</v>
      </c>
      <c r="G14" s="1">
        <v>44.6</v>
      </c>
      <c r="H14" s="1">
        <v>43.9</v>
      </c>
      <c r="I14" s="1">
        <v>40.200000000000003</v>
      </c>
      <c r="J14" s="6">
        <v>54.1</v>
      </c>
      <c r="K14" s="5">
        <v>0.24399999999999999</v>
      </c>
      <c r="L14" s="6">
        <v>0.22700000000000001</v>
      </c>
      <c r="M14" s="1">
        <v>82</v>
      </c>
      <c r="N14" s="6">
        <v>79</v>
      </c>
      <c r="O14" s="1" t="s">
        <v>25</v>
      </c>
      <c r="P14" s="1">
        <v>1</v>
      </c>
      <c r="Q14" s="1" t="s">
        <v>26</v>
      </c>
      <c r="R14" s="6">
        <v>1</v>
      </c>
      <c r="S14" s="1">
        <v>8</v>
      </c>
      <c r="T14" s="1">
        <v>5</v>
      </c>
      <c r="U14" s="12">
        <v>0.05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29.88</v>
      </c>
      <c r="F15" s="6">
        <v>29.98</v>
      </c>
      <c r="G15" s="1">
        <v>46.1</v>
      </c>
      <c r="H15" s="1">
        <v>40.9</v>
      </c>
      <c r="I15" s="1">
        <v>37.1</v>
      </c>
      <c r="J15" s="6">
        <v>52.5</v>
      </c>
      <c r="K15" s="5">
        <v>0.23100000000000001</v>
      </c>
      <c r="L15" s="6">
        <v>0.247</v>
      </c>
      <c r="M15" s="1">
        <v>74</v>
      </c>
      <c r="N15" s="6">
        <v>97</v>
      </c>
      <c r="O15" s="1" t="s">
        <v>26</v>
      </c>
      <c r="P15" s="1">
        <v>2</v>
      </c>
      <c r="Q15" s="1" t="s">
        <v>26</v>
      </c>
      <c r="R15" s="6">
        <v>2</v>
      </c>
      <c r="S15" s="1">
        <v>4</v>
      </c>
      <c r="T15" s="1">
        <v>10</v>
      </c>
      <c r="U15" s="12">
        <v>0.21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29.87</v>
      </c>
      <c r="F16" s="6">
        <v>29.99</v>
      </c>
      <c r="G16" s="1">
        <v>51.7</v>
      </c>
      <c r="H16" s="1">
        <v>53.5</v>
      </c>
      <c r="I16" s="1">
        <v>40.700000000000003</v>
      </c>
      <c r="J16" s="6">
        <v>55.6</v>
      </c>
      <c r="K16" s="5">
        <v>0.35699999999999998</v>
      </c>
      <c r="L16" s="6">
        <v>0.34599999999999997</v>
      </c>
      <c r="M16" s="1">
        <v>93</v>
      </c>
      <c r="N16" s="6">
        <v>84</v>
      </c>
      <c r="O16" s="1" t="s">
        <v>25</v>
      </c>
      <c r="P16" s="1">
        <v>3</v>
      </c>
      <c r="Q16" s="1" t="s">
        <v>25</v>
      </c>
      <c r="R16" s="6">
        <v>4</v>
      </c>
      <c r="S16" s="1">
        <v>10</v>
      </c>
      <c r="T16" s="1">
        <v>10</v>
      </c>
      <c r="U16" s="12">
        <v>0.14000000000000001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30.03</v>
      </c>
      <c r="F17" s="6">
        <v>29.95</v>
      </c>
      <c r="G17" s="1">
        <v>54.7</v>
      </c>
      <c r="H17" s="1">
        <v>57.8</v>
      </c>
      <c r="I17" s="1">
        <v>50.2</v>
      </c>
      <c r="J17" s="6">
        <v>65.099999999999994</v>
      </c>
      <c r="K17" s="5">
        <v>0.33</v>
      </c>
      <c r="L17" s="6">
        <v>0.36899999999999999</v>
      </c>
      <c r="M17" s="1">
        <v>78</v>
      </c>
      <c r="N17" s="6">
        <v>77</v>
      </c>
      <c r="O17" s="1" t="s">
        <v>39</v>
      </c>
      <c r="P17" s="1">
        <v>2</v>
      </c>
      <c r="Q17" s="1" t="s">
        <v>29</v>
      </c>
      <c r="R17" s="6">
        <v>1</v>
      </c>
      <c r="S17" s="1">
        <v>8</v>
      </c>
      <c r="T17" s="1">
        <v>0</v>
      </c>
      <c r="U17" s="12" t="s">
        <v>22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29.93</v>
      </c>
      <c r="F18" s="6">
        <v>29.97</v>
      </c>
      <c r="G18" s="1">
        <v>59.7</v>
      </c>
      <c r="H18" s="1">
        <v>54.8</v>
      </c>
      <c r="I18" s="1">
        <v>51.1</v>
      </c>
      <c r="J18" s="6">
        <v>65.400000000000006</v>
      </c>
      <c r="K18" s="5">
        <v>0.38500000000000001</v>
      </c>
      <c r="L18" s="6">
        <v>0.37</v>
      </c>
      <c r="M18" s="1">
        <v>76</v>
      </c>
      <c r="N18" s="6">
        <v>86</v>
      </c>
      <c r="O18" s="1" t="s">
        <v>25</v>
      </c>
      <c r="P18" s="1">
        <v>1</v>
      </c>
      <c r="Q18" s="1" t="s">
        <v>33</v>
      </c>
      <c r="R18" s="6">
        <v>0</v>
      </c>
      <c r="S18" s="1">
        <v>4</v>
      </c>
      <c r="T18" s="1">
        <v>8</v>
      </c>
      <c r="U18" s="12">
        <v>0.19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30.03</v>
      </c>
      <c r="F19" s="6">
        <v>30.19</v>
      </c>
      <c r="G19" s="1">
        <v>57.5</v>
      </c>
      <c r="H19" s="1">
        <v>52.1</v>
      </c>
      <c r="I19" s="1">
        <v>51.1</v>
      </c>
      <c r="J19" s="6">
        <v>60.4</v>
      </c>
      <c r="K19" s="5">
        <v>0.40100000000000002</v>
      </c>
      <c r="L19" s="6">
        <v>0.33400000000000002</v>
      </c>
      <c r="M19" s="1">
        <v>85</v>
      </c>
      <c r="N19" s="6">
        <v>85</v>
      </c>
      <c r="O19" s="1" t="s">
        <v>28</v>
      </c>
      <c r="P19" s="1">
        <v>1</v>
      </c>
      <c r="Q19" s="1" t="s">
        <v>35</v>
      </c>
      <c r="R19" s="6">
        <v>1</v>
      </c>
      <c r="S19" s="1">
        <v>6</v>
      </c>
      <c r="T19" s="1">
        <v>0</v>
      </c>
      <c r="U19" s="12" t="s">
        <v>22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30.29</v>
      </c>
      <c r="F20" s="6">
        <v>30.35</v>
      </c>
      <c r="G20" s="1">
        <v>55.1</v>
      </c>
      <c r="H20" s="1">
        <v>50.2</v>
      </c>
      <c r="I20" s="1">
        <v>49.6</v>
      </c>
      <c r="J20" s="6">
        <v>57.7</v>
      </c>
      <c r="K20" s="5">
        <v>0.35799999999999998</v>
      </c>
      <c r="L20" s="6">
        <v>0.30499999999999999</v>
      </c>
      <c r="M20" s="1">
        <v>82</v>
      </c>
      <c r="N20" s="6">
        <v>84</v>
      </c>
      <c r="O20" s="1" t="s">
        <v>24</v>
      </c>
      <c r="P20" s="1">
        <v>1</v>
      </c>
      <c r="Q20" s="1" t="s">
        <v>24</v>
      </c>
      <c r="R20" s="6">
        <v>1</v>
      </c>
      <c r="S20" s="1">
        <v>0</v>
      </c>
      <c r="T20" s="1">
        <v>0</v>
      </c>
      <c r="U20" s="12" t="s">
        <v>22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30.4</v>
      </c>
      <c r="F21" s="6">
        <v>30.33</v>
      </c>
      <c r="G21" s="1">
        <v>46.6</v>
      </c>
      <c r="H21" s="1">
        <v>46.4</v>
      </c>
      <c r="I21" s="1">
        <v>45.5</v>
      </c>
      <c r="J21" s="6">
        <v>52.6</v>
      </c>
      <c r="K21" s="5">
        <v>0.29599999999999999</v>
      </c>
      <c r="L21" s="6">
        <v>0.29399999999999998</v>
      </c>
      <c r="M21" s="1">
        <v>94</v>
      </c>
      <c r="N21" s="6">
        <v>94</v>
      </c>
      <c r="O21" s="1" t="s">
        <v>35</v>
      </c>
      <c r="P21" s="1">
        <v>1</v>
      </c>
      <c r="Q21" s="1" t="s">
        <v>33</v>
      </c>
      <c r="R21" s="6">
        <v>0</v>
      </c>
      <c r="S21" s="1">
        <v>10</v>
      </c>
      <c r="T21" s="1">
        <v>1</v>
      </c>
      <c r="U21" s="12" t="s">
        <v>22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30.24</v>
      </c>
      <c r="F22" s="6">
        <v>30.12</v>
      </c>
      <c r="G22" s="1">
        <v>55.1</v>
      </c>
      <c r="H22" s="1">
        <v>53.1</v>
      </c>
      <c r="I22" s="1">
        <v>42.9</v>
      </c>
      <c r="J22" s="6">
        <v>60</v>
      </c>
      <c r="K22" s="5">
        <v>0.32200000000000001</v>
      </c>
      <c r="L22" s="6">
        <v>0.309</v>
      </c>
      <c r="M22" s="1">
        <v>75</v>
      </c>
      <c r="N22" s="6">
        <v>77</v>
      </c>
      <c r="O22" s="1" t="s">
        <v>28</v>
      </c>
      <c r="P22" s="1">
        <v>1</v>
      </c>
      <c r="Q22" s="1" t="s">
        <v>27</v>
      </c>
      <c r="R22" s="6">
        <v>1</v>
      </c>
      <c r="S22" s="1">
        <v>2</v>
      </c>
      <c r="T22" s="1">
        <v>1</v>
      </c>
      <c r="U22" s="12" t="s">
        <v>22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30.01</v>
      </c>
      <c r="F23" s="6">
        <v>30</v>
      </c>
      <c r="G23" s="1">
        <v>52.7</v>
      </c>
      <c r="H23" s="1">
        <v>48.9</v>
      </c>
      <c r="I23" s="1">
        <v>48.6</v>
      </c>
      <c r="J23" s="6">
        <v>59.1</v>
      </c>
      <c r="K23" s="5">
        <v>0.29599999999999999</v>
      </c>
      <c r="L23" s="6">
        <v>0.27700000000000002</v>
      </c>
      <c r="M23" s="1">
        <v>75</v>
      </c>
      <c r="N23" s="6">
        <v>81</v>
      </c>
      <c r="O23" s="1" t="s">
        <v>26</v>
      </c>
      <c r="P23" s="1">
        <v>1</v>
      </c>
      <c r="Q23" s="1" t="s">
        <v>37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30.05</v>
      </c>
      <c r="F24" s="6">
        <v>30.13</v>
      </c>
      <c r="G24" s="1">
        <v>50.9</v>
      </c>
      <c r="H24" s="1">
        <v>47</v>
      </c>
      <c r="I24" s="1">
        <v>46.3</v>
      </c>
      <c r="J24" s="6">
        <v>51.7</v>
      </c>
      <c r="K24" s="5">
        <v>0.252</v>
      </c>
      <c r="L24" s="6">
        <v>0.26900000000000002</v>
      </c>
      <c r="M24" s="1">
        <v>68</v>
      </c>
      <c r="N24" s="6">
        <v>84</v>
      </c>
      <c r="O24" s="1" t="s">
        <v>23</v>
      </c>
      <c r="P24" s="1">
        <v>1</v>
      </c>
      <c r="Q24" s="1" t="s">
        <v>23</v>
      </c>
      <c r="R24" s="6">
        <v>1</v>
      </c>
      <c r="S24" s="1">
        <v>10</v>
      </c>
      <c r="T24" s="1">
        <v>9</v>
      </c>
      <c r="U24" s="12" t="s">
        <v>22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30.22</v>
      </c>
      <c r="F25" s="6">
        <v>30.18</v>
      </c>
      <c r="G25" s="1">
        <v>51.7</v>
      </c>
      <c r="H25" s="1">
        <v>48.3</v>
      </c>
      <c r="I25" s="1">
        <v>39.299999999999997</v>
      </c>
      <c r="J25" s="6">
        <v>53.6</v>
      </c>
      <c r="K25" s="5">
        <v>0.26900000000000002</v>
      </c>
      <c r="L25" s="6">
        <v>0.26300000000000001</v>
      </c>
      <c r="M25" s="1">
        <v>71</v>
      </c>
      <c r="N25" s="6">
        <v>78</v>
      </c>
      <c r="O25" s="1" t="s">
        <v>23</v>
      </c>
      <c r="P25" s="1">
        <v>1</v>
      </c>
      <c r="Q25" s="1" t="s">
        <v>33</v>
      </c>
      <c r="R25" s="6">
        <v>0</v>
      </c>
      <c r="S25" s="1">
        <v>5</v>
      </c>
      <c r="T25" s="1">
        <v>2</v>
      </c>
      <c r="U25" s="12" t="s">
        <v>22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30.19</v>
      </c>
      <c r="F26" s="6">
        <v>30.16</v>
      </c>
      <c r="G26" s="1">
        <v>60.1</v>
      </c>
      <c r="H26" s="1">
        <v>57.3</v>
      </c>
      <c r="I26" s="1">
        <v>44</v>
      </c>
      <c r="J26" s="6">
        <v>67.8</v>
      </c>
      <c r="K26" s="5">
        <v>0.26</v>
      </c>
      <c r="L26" s="6">
        <v>0.34799999999999998</v>
      </c>
      <c r="M26" s="1">
        <v>50</v>
      </c>
      <c r="N26" s="6">
        <v>74</v>
      </c>
      <c r="O26" s="1" t="s">
        <v>37</v>
      </c>
      <c r="P26" s="1">
        <v>1</v>
      </c>
      <c r="Q26" s="1" t="s">
        <v>21</v>
      </c>
      <c r="R26" s="6">
        <v>1</v>
      </c>
      <c r="S26" s="1">
        <v>0</v>
      </c>
      <c r="T26" s="1">
        <v>2</v>
      </c>
      <c r="U26" s="12" t="s">
        <v>22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30.14</v>
      </c>
      <c r="F27" s="6">
        <v>30.1</v>
      </c>
      <c r="G27" s="1">
        <v>65</v>
      </c>
      <c r="H27" s="1">
        <v>59.7</v>
      </c>
      <c r="I27" s="1">
        <v>47.3</v>
      </c>
      <c r="J27" s="6">
        <v>73.8</v>
      </c>
      <c r="K27" s="5">
        <v>0.36599999999999999</v>
      </c>
      <c r="L27" s="6">
        <v>0.39100000000000001</v>
      </c>
      <c r="M27" s="1">
        <v>59</v>
      </c>
      <c r="N27" s="6">
        <v>77</v>
      </c>
      <c r="O27" s="1" t="s">
        <v>25</v>
      </c>
      <c r="P27" s="1">
        <v>1</v>
      </c>
      <c r="Q27" s="1" t="s">
        <v>33</v>
      </c>
      <c r="R27" s="6">
        <v>0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30.11</v>
      </c>
      <c r="F28" s="6">
        <v>30.1</v>
      </c>
      <c r="G28" s="1">
        <v>64</v>
      </c>
      <c r="H28" s="1">
        <v>50.5</v>
      </c>
      <c r="I28" s="1">
        <v>50.1</v>
      </c>
      <c r="J28" s="6">
        <v>72</v>
      </c>
      <c r="K28" s="5">
        <v>0.433</v>
      </c>
      <c r="L28" s="6">
        <v>0.318</v>
      </c>
      <c r="M28" s="1">
        <v>73</v>
      </c>
      <c r="N28" s="6">
        <v>87</v>
      </c>
      <c r="O28" s="1" t="s">
        <v>26</v>
      </c>
      <c r="P28" s="1">
        <v>1</v>
      </c>
      <c r="Q28" s="1" t="s">
        <v>21</v>
      </c>
      <c r="R28" s="6">
        <v>1</v>
      </c>
      <c r="S28" s="1">
        <v>0</v>
      </c>
      <c r="T28" s="1">
        <v>0</v>
      </c>
      <c r="U28" s="12">
        <v>0.1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29.97</v>
      </c>
      <c r="F29" s="6">
        <v>29.75</v>
      </c>
      <c r="G29" s="1">
        <v>55.1</v>
      </c>
      <c r="H29" s="1">
        <v>58</v>
      </c>
      <c r="I29" s="1">
        <v>48.1</v>
      </c>
      <c r="J29" s="6">
        <v>62.3</v>
      </c>
      <c r="K29" s="5">
        <v>0.39300000000000002</v>
      </c>
      <c r="L29" s="6">
        <v>0.433</v>
      </c>
      <c r="M29" s="1">
        <v>90</v>
      </c>
      <c r="N29" s="6">
        <v>89</v>
      </c>
      <c r="O29" s="1" t="s">
        <v>37</v>
      </c>
      <c r="P29" s="1">
        <v>1</v>
      </c>
      <c r="Q29" s="1" t="s">
        <v>33</v>
      </c>
      <c r="R29" s="6">
        <v>0</v>
      </c>
      <c r="S29" s="1">
        <v>10</v>
      </c>
      <c r="T29" s="1">
        <v>4</v>
      </c>
      <c r="U29" s="12">
        <v>0.19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29.53</v>
      </c>
      <c r="F30" s="6">
        <v>29.69</v>
      </c>
      <c r="G30" s="1">
        <v>54.9</v>
      </c>
      <c r="H30" s="1">
        <v>52.9</v>
      </c>
      <c r="I30" s="1">
        <v>51.1</v>
      </c>
      <c r="J30" s="6">
        <v>59.1</v>
      </c>
      <c r="K30" s="5">
        <v>0.41299999999999998</v>
      </c>
      <c r="L30" s="6">
        <v>0.38900000000000001</v>
      </c>
      <c r="M30" s="1">
        <v>96</v>
      </c>
      <c r="N30" s="6">
        <v>98</v>
      </c>
      <c r="O30" s="1" t="s">
        <v>33</v>
      </c>
      <c r="P30" s="1">
        <v>0</v>
      </c>
      <c r="Q30" s="1" t="s">
        <v>28</v>
      </c>
      <c r="R30" s="6">
        <v>1</v>
      </c>
      <c r="S30" s="1">
        <v>10</v>
      </c>
      <c r="T30" s="1">
        <v>10</v>
      </c>
      <c r="U30" s="12">
        <v>1.26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29.97</v>
      </c>
      <c r="F31" s="6">
        <v>30.08</v>
      </c>
      <c r="G31" s="1">
        <v>53.4</v>
      </c>
      <c r="H31" s="1">
        <v>49.1</v>
      </c>
      <c r="I31" s="1">
        <v>49</v>
      </c>
      <c r="J31" s="6">
        <v>56.1</v>
      </c>
      <c r="K31" s="5">
        <v>0.34</v>
      </c>
      <c r="L31" s="6">
        <v>0.318</v>
      </c>
      <c r="M31" s="1">
        <v>83</v>
      </c>
      <c r="N31" s="6">
        <v>91</v>
      </c>
      <c r="O31" s="1" t="s">
        <v>34</v>
      </c>
      <c r="P31" s="1">
        <v>1</v>
      </c>
      <c r="Q31" s="1" t="s">
        <v>23</v>
      </c>
      <c r="R31" s="6">
        <v>0.5</v>
      </c>
      <c r="S31" s="1">
        <v>9</v>
      </c>
      <c r="T31" s="1">
        <v>0</v>
      </c>
      <c r="U31" s="12" t="s">
        <v>22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30.09</v>
      </c>
      <c r="F32" s="6">
        <v>30.08</v>
      </c>
      <c r="G32" s="1">
        <v>59</v>
      </c>
      <c r="H32" s="1">
        <v>51.6</v>
      </c>
      <c r="I32" s="1">
        <v>48.3</v>
      </c>
      <c r="J32" s="6">
        <v>64.7</v>
      </c>
      <c r="K32" s="5">
        <v>0.371</v>
      </c>
      <c r="L32" s="6">
        <v>0.27400000000000002</v>
      </c>
      <c r="M32" s="1">
        <v>75</v>
      </c>
      <c r="N32" s="6">
        <v>72</v>
      </c>
      <c r="O32" s="1" t="s">
        <v>29</v>
      </c>
      <c r="P32" s="1">
        <v>1</v>
      </c>
      <c r="Q32" s="1" t="s">
        <v>29</v>
      </c>
      <c r="R32" s="6">
        <v>1</v>
      </c>
      <c r="S32" s="1">
        <v>4</v>
      </c>
      <c r="T32" s="1">
        <v>0</v>
      </c>
      <c r="U32" s="12" t="s">
        <v>22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30.02</v>
      </c>
      <c r="F33" s="6">
        <v>30.08</v>
      </c>
      <c r="G33" s="1">
        <v>65.3</v>
      </c>
      <c r="H33" s="1">
        <v>57.2</v>
      </c>
      <c r="I33" s="1">
        <v>49.6</v>
      </c>
      <c r="J33" s="6">
        <v>69</v>
      </c>
      <c r="K33" s="5">
        <v>0.437</v>
      </c>
      <c r="L33" s="6">
        <v>0.42799999999999999</v>
      </c>
      <c r="M33" s="1">
        <v>71</v>
      </c>
      <c r="N33" s="6">
        <v>91</v>
      </c>
      <c r="O33" s="1" t="s">
        <v>29</v>
      </c>
      <c r="P33" s="1">
        <v>1</v>
      </c>
      <c r="Q33" s="1" t="s">
        <v>25</v>
      </c>
      <c r="R33" s="6">
        <v>2</v>
      </c>
      <c r="S33" s="1">
        <v>8</v>
      </c>
      <c r="T33" s="1">
        <v>9</v>
      </c>
      <c r="U33" s="12" t="s">
        <v>22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30.18</v>
      </c>
      <c r="F34" s="6">
        <v>30.25</v>
      </c>
      <c r="G34" s="1">
        <v>55.3</v>
      </c>
      <c r="H34" s="1">
        <v>50.7</v>
      </c>
      <c r="I34" s="1">
        <v>50.7</v>
      </c>
      <c r="J34" s="6">
        <v>60.3</v>
      </c>
      <c r="K34" s="5">
        <v>0.29599999999999999</v>
      </c>
      <c r="L34" s="6">
        <v>0.30399999999999999</v>
      </c>
      <c r="M34" s="1">
        <v>69</v>
      </c>
      <c r="N34" s="6">
        <v>83</v>
      </c>
      <c r="O34" s="1" t="s">
        <v>27</v>
      </c>
      <c r="P34" s="1">
        <v>1</v>
      </c>
      <c r="Q34" s="1" t="s">
        <v>33</v>
      </c>
      <c r="R34" s="6">
        <v>0</v>
      </c>
      <c r="S34" s="1">
        <v>9</v>
      </c>
      <c r="T34" s="1">
        <v>0</v>
      </c>
      <c r="U34" s="12" t="s">
        <v>22</v>
      </c>
    </row>
    <row r="35" spans="1:21" s="1" customFormat="1">
      <c r="A35" s="5" t="s">
        <v>71</v>
      </c>
      <c r="B35" s="1">
        <v>1883</v>
      </c>
      <c r="C35" s="1" t="s">
        <v>20</v>
      </c>
      <c r="D35" s="8">
        <v>31</v>
      </c>
      <c r="E35" s="7">
        <v>30.25</v>
      </c>
      <c r="F35" s="9">
        <v>30.19</v>
      </c>
      <c r="G35" s="8">
        <v>58.9</v>
      </c>
      <c r="H35" s="8">
        <v>50.2</v>
      </c>
      <c r="I35" s="8">
        <v>47</v>
      </c>
      <c r="J35" s="9">
        <v>61.1</v>
      </c>
      <c r="K35" s="7">
        <v>0.41499999999999998</v>
      </c>
      <c r="L35" s="9">
        <v>0.32200000000000001</v>
      </c>
      <c r="M35" s="8">
        <v>84</v>
      </c>
      <c r="N35" s="9">
        <v>89</v>
      </c>
      <c r="O35" s="8" t="s">
        <v>38</v>
      </c>
      <c r="P35" s="8">
        <v>1</v>
      </c>
      <c r="Q35" s="8" t="s">
        <v>21</v>
      </c>
      <c r="R35" s="9">
        <v>0.5</v>
      </c>
      <c r="S35" s="8">
        <v>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29.957999999999998</v>
      </c>
      <c r="F36" s="16">
        <v>29.971</v>
      </c>
      <c r="G36" s="14">
        <v>52.9</v>
      </c>
      <c r="H36" s="15">
        <v>49.4</v>
      </c>
      <c r="I36" s="15">
        <v>45.4</v>
      </c>
      <c r="J36" s="16">
        <v>57.8</v>
      </c>
      <c r="K36" s="15">
        <v>0.31900000000000001</v>
      </c>
      <c r="L36" s="15">
        <v>0.30399999999999999</v>
      </c>
      <c r="M36" s="14">
        <v>78.599999999999994</v>
      </c>
      <c r="N36" s="16">
        <v>85.5</v>
      </c>
      <c r="O36" s="14" t="s">
        <v>22</v>
      </c>
      <c r="P36" s="15">
        <v>1.3</v>
      </c>
      <c r="Q36" s="15" t="s">
        <v>22</v>
      </c>
      <c r="R36" s="16">
        <v>1.1000000000000001</v>
      </c>
      <c r="S36" s="14">
        <v>6.2</v>
      </c>
      <c r="T36" s="16">
        <v>4.5</v>
      </c>
      <c r="U36" s="17">
        <v>2.4900000000000002</v>
      </c>
    </row>
    <row r="37" spans="1:21">
      <c r="U37">
        <f>SUM(U5:U35)</f>
        <v>2.59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D623-E5C9-4E79-8923-F8CC5FB200F8}">
  <dimension ref="A2:U36"/>
  <sheetViews>
    <sheetView topLeftCell="D24" workbookViewId="0">
      <selection activeCell="D37" sqref="D37"/>
    </sheetView>
  </sheetViews>
  <sheetFormatPr defaultRowHeight="14.45"/>
  <cols>
    <col min="1" max="1" width="16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29.72</v>
      </c>
      <c r="F5" s="6" t="s">
        <v>22</v>
      </c>
      <c r="G5" s="1">
        <v>51.4</v>
      </c>
      <c r="H5" s="1" t="s">
        <v>22</v>
      </c>
      <c r="I5" s="1">
        <v>40</v>
      </c>
      <c r="J5" s="6">
        <v>60.9</v>
      </c>
      <c r="K5" s="5">
        <v>0.309</v>
      </c>
      <c r="L5" s="6" t="s">
        <v>22</v>
      </c>
      <c r="M5" s="1">
        <v>82</v>
      </c>
      <c r="N5" s="6" t="s">
        <v>22</v>
      </c>
      <c r="O5" s="1" t="s">
        <v>27</v>
      </c>
      <c r="P5" s="1">
        <v>1.5</v>
      </c>
      <c r="Q5" s="1" t="s">
        <v>22</v>
      </c>
      <c r="R5" s="6" t="s">
        <v>22</v>
      </c>
      <c r="S5" s="1">
        <v>6</v>
      </c>
      <c r="T5" s="1" t="s">
        <v>22</v>
      </c>
      <c r="U5" s="12" t="s">
        <v>22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29.93</v>
      </c>
      <c r="F6" s="6" t="s">
        <v>22</v>
      </c>
      <c r="G6" s="1">
        <v>43.8</v>
      </c>
      <c r="H6" s="1" t="s">
        <v>22</v>
      </c>
      <c r="I6" s="1">
        <v>39.799999999999997</v>
      </c>
      <c r="J6" s="6">
        <v>51</v>
      </c>
      <c r="K6" s="5">
        <v>0.20799999999999999</v>
      </c>
      <c r="L6" s="6" t="s">
        <v>22</v>
      </c>
      <c r="M6" s="1">
        <v>72</v>
      </c>
      <c r="N6" s="6" t="s">
        <v>22</v>
      </c>
      <c r="O6" s="1" t="s">
        <v>24</v>
      </c>
      <c r="P6" s="1">
        <v>1.6</v>
      </c>
      <c r="Q6" s="1" t="s">
        <v>22</v>
      </c>
      <c r="R6" s="6" t="s">
        <v>22</v>
      </c>
      <c r="S6" s="1">
        <v>10</v>
      </c>
      <c r="T6" s="1" t="s">
        <v>22</v>
      </c>
      <c r="U6" s="12" t="s">
        <v>22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29.87</v>
      </c>
      <c r="F7" s="6" t="s">
        <v>22</v>
      </c>
      <c r="G7" s="1">
        <v>47.3</v>
      </c>
      <c r="H7" s="1" t="s">
        <v>22</v>
      </c>
      <c r="I7" s="1">
        <v>29.2</v>
      </c>
      <c r="J7" s="6">
        <v>54.9</v>
      </c>
      <c r="K7" s="5">
        <v>0.22600000000000001</v>
      </c>
      <c r="L7" s="6" t="s">
        <v>22</v>
      </c>
      <c r="M7" s="1">
        <v>70</v>
      </c>
      <c r="N7" s="6" t="s">
        <v>22</v>
      </c>
      <c r="O7" s="1" t="s">
        <v>28</v>
      </c>
      <c r="P7" s="1">
        <v>0.3</v>
      </c>
      <c r="Q7" s="1" t="s">
        <v>22</v>
      </c>
      <c r="R7" s="6" t="s">
        <v>22</v>
      </c>
      <c r="S7" s="1">
        <v>7</v>
      </c>
      <c r="T7" s="1" t="s">
        <v>22</v>
      </c>
      <c r="U7" s="12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29.82</v>
      </c>
      <c r="F8" s="6" t="s">
        <v>22</v>
      </c>
      <c r="G8" s="1">
        <v>44.2</v>
      </c>
      <c r="H8" s="1" t="s">
        <v>22</v>
      </c>
      <c r="I8" s="1">
        <v>30.1</v>
      </c>
      <c r="J8" s="6">
        <v>52.2</v>
      </c>
      <c r="K8" s="5">
        <v>0.19700000000000001</v>
      </c>
      <c r="L8" s="6" t="s">
        <v>22</v>
      </c>
      <c r="M8" s="1">
        <v>68</v>
      </c>
      <c r="N8" s="6" t="s">
        <v>22</v>
      </c>
      <c r="O8" s="1" t="s">
        <v>24</v>
      </c>
      <c r="P8" s="1">
        <v>1</v>
      </c>
      <c r="Q8" s="1" t="s">
        <v>22</v>
      </c>
      <c r="R8" s="6" t="s">
        <v>22</v>
      </c>
      <c r="S8" s="1">
        <v>4</v>
      </c>
      <c r="T8" s="1" t="s">
        <v>22</v>
      </c>
      <c r="U8" s="12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29.87</v>
      </c>
      <c r="F9" s="6" t="s">
        <v>22</v>
      </c>
      <c r="G9" s="1">
        <v>40.6</v>
      </c>
      <c r="H9" s="1" t="s">
        <v>22</v>
      </c>
      <c r="I9" s="1">
        <v>40.299999999999997</v>
      </c>
      <c r="J9" s="6">
        <v>56.3</v>
      </c>
      <c r="K9" s="5">
        <v>0.19900000000000001</v>
      </c>
      <c r="L9" s="6" t="s">
        <v>22</v>
      </c>
      <c r="M9" s="1">
        <v>79</v>
      </c>
      <c r="N9" s="6" t="s">
        <v>22</v>
      </c>
      <c r="O9" s="1" t="s">
        <v>24</v>
      </c>
      <c r="P9" s="1">
        <v>0.3</v>
      </c>
      <c r="Q9" s="1" t="s">
        <v>22</v>
      </c>
      <c r="R9" s="6" t="s">
        <v>22</v>
      </c>
      <c r="S9" s="1">
        <v>10</v>
      </c>
      <c r="T9" s="1" t="s">
        <v>22</v>
      </c>
      <c r="U9" s="12" t="s">
        <v>22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29.88</v>
      </c>
      <c r="F10" s="6" t="s">
        <v>22</v>
      </c>
      <c r="G10" s="1">
        <v>51.8</v>
      </c>
      <c r="H10" s="1" t="s">
        <v>22</v>
      </c>
      <c r="I10" s="1">
        <v>40.6</v>
      </c>
      <c r="J10" s="6">
        <v>66.8</v>
      </c>
      <c r="K10" s="5">
        <v>0.307</v>
      </c>
      <c r="L10" s="6" t="s">
        <v>22</v>
      </c>
      <c r="M10" s="1">
        <v>80</v>
      </c>
      <c r="N10" s="6" t="s">
        <v>22</v>
      </c>
      <c r="O10" s="1" t="s">
        <v>24</v>
      </c>
      <c r="P10" s="1">
        <v>3</v>
      </c>
      <c r="Q10" s="1" t="s">
        <v>22</v>
      </c>
      <c r="R10" s="6" t="s">
        <v>22</v>
      </c>
      <c r="S10" s="1">
        <v>8</v>
      </c>
      <c r="T10" s="1" t="s">
        <v>22</v>
      </c>
      <c r="U10" s="12">
        <v>1.2999999999999999E-2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29.71</v>
      </c>
      <c r="F11" s="6" t="s">
        <v>22</v>
      </c>
      <c r="G11" s="1">
        <v>46.4</v>
      </c>
      <c r="H11" s="1" t="s">
        <v>22</v>
      </c>
      <c r="I11" s="1">
        <v>36.200000000000003</v>
      </c>
      <c r="J11" s="6">
        <v>57.9</v>
      </c>
      <c r="K11" s="5">
        <v>0.29799999999999999</v>
      </c>
      <c r="L11" s="6" t="s">
        <v>22</v>
      </c>
      <c r="M11" s="1">
        <v>95</v>
      </c>
      <c r="N11" s="6" t="s">
        <v>22</v>
      </c>
      <c r="O11" s="1" t="s">
        <v>23</v>
      </c>
      <c r="P11" s="1">
        <v>0.3</v>
      </c>
      <c r="Q11" s="1" t="s">
        <v>22</v>
      </c>
      <c r="R11" s="6" t="s">
        <v>22</v>
      </c>
      <c r="S11" s="1">
        <v>10</v>
      </c>
      <c r="T11" s="1" t="s">
        <v>22</v>
      </c>
      <c r="U11" s="12">
        <v>0.159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29.6</v>
      </c>
      <c r="F12" s="6" t="s">
        <v>22</v>
      </c>
      <c r="G12" s="1">
        <v>47.7</v>
      </c>
      <c r="H12" s="1" t="s">
        <v>22</v>
      </c>
      <c r="I12" s="1">
        <v>41.5</v>
      </c>
      <c r="J12" s="6">
        <v>50.8</v>
      </c>
      <c r="K12" s="5">
        <v>0.28899999999999998</v>
      </c>
      <c r="L12" s="6" t="s">
        <v>22</v>
      </c>
      <c r="M12" s="1">
        <v>88</v>
      </c>
      <c r="N12" s="6" t="s">
        <v>22</v>
      </c>
      <c r="O12" s="1" t="s">
        <v>29</v>
      </c>
      <c r="P12" s="1">
        <v>0.8</v>
      </c>
      <c r="Q12" s="1" t="s">
        <v>22</v>
      </c>
      <c r="R12" s="6" t="s">
        <v>22</v>
      </c>
      <c r="S12" s="1">
        <v>10</v>
      </c>
      <c r="T12" s="1" t="s">
        <v>22</v>
      </c>
      <c r="U12" s="12">
        <v>0.155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29.53</v>
      </c>
      <c r="F13" s="6" t="s">
        <v>22</v>
      </c>
      <c r="G13" s="1">
        <v>45.7</v>
      </c>
      <c r="H13" s="1" t="s">
        <v>22</v>
      </c>
      <c r="I13" s="1">
        <v>40</v>
      </c>
      <c r="J13" s="6">
        <v>49.3</v>
      </c>
      <c r="K13" s="5">
        <v>0.27600000000000002</v>
      </c>
      <c r="L13" s="6" t="s">
        <v>22</v>
      </c>
      <c r="M13" s="1">
        <v>91</v>
      </c>
      <c r="N13" s="6" t="s">
        <v>22</v>
      </c>
      <c r="O13" s="1" t="s">
        <v>24</v>
      </c>
      <c r="P13" s="1">
        <v>1.1000000000000001</v>
      </c>
      <c r="Q13" s="1" t="s">
        <v>22</v>
      </c>
      <c r="R13" s="6" t="s">
        <v>22</v>
      </c>
      <c r="S13" s="1">
        <v>10</v>
      </c>
      <c r="T13" s="1" t="s">
        <v>22</v>
      </c>
      <c r="U13" s="12">
        <v>0.41499999999999998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29.64</v>
      </c>
      <c r="F14" s="6" t="s">
        <v>22</v>
      </c>
      <c r="G14" s="1">
        <v>37.700000000000003</v>
      </c>
      <c r="H14" s="1" t="s">
        <v>22</v>
      </c>
      <c r="I14" s="1">
        <v>35</v>
      </c>
      <c r="J14" s="6">
        <v>50.1</v>
      </c>
      <c r="K14" s="5">
        <v>0.216</v>
      </c>
      <c r="L14" s="6" t="s">
        <v>22</v>
      </c>
      <c r="M14" s="1">
        <v>96</v>
      </c>
      <c r="N14" s="6" t="s">
        <v>22</v>
      </c>
      <c r="O14" s="1" t="s">
        <v>27</v>
      </c>
      <c r="P14" s="1">
        <v>1.5</v>
      </c>
      <c r="Q14" s="1" t="s">
        <v>22</v>
      </c>
      <c r="R14" s="6" t="s">
        <v>22</v>
      </c>
      <c r="S14" s="1">
        <v>10</v>
      </c>
      <c r="T14" s="1" t="s">
        <v>22</v>
      </c>
      <c r="U14" s="12">
        <v>4.5999999999999999E-2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29.91</v>
      </c>
      <c r="F15" s="6" t="s">
        <v>22</v>
      </c>
      <c r="G15" s="1">
        <v>48.4</v>
      </c>
      <c r="H15" s="1" t="s">
        <v>22</v>
      </c>
      <c r="I15" s="1">
        <v>34.700000000000003</v>
      </c>
      <c r="J15" s="6">
        <v>53.3</v>
      </c>
      <c r="K15" s="5">
        <v>0.23499999999999999</v>
      </c>
      <c r="L15" s="6" t="s">
        <v>22</v>
      </c>
      <c r="M15" s="1">
        <v>70</v>
      </c>
      <c r="N15" s="6" t="s">
        <v>22</v>
      </c>
      <c r="O15" s="1" t="s">
        <v>26</v>
      </c>
      <c r="P15" s="1">
        <v>3.2</v>
      </c>
      <c r="Q15" s="1" t="s">
        <v>22</v>
      </c>
      <c r="R15" s="6" t="s">
        <v>22</v>
      </c>
      <c r="S15" s="1">
        <v>4</v>
      </c>
      <c r="T15" s="1" t="s">
        <v>22</v>
      </c>
      <c r="U15" s="12">
        <v>0.45100000000000001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29.83</v>
      </c>
      <c r="F16" s="6" t="s">
        <v>22</v>
      </c>
      <c r="G16" s="1">
        <v>52.4</v>
      </c>
      <c r="H16" s="1" t="s">
        <v>22</v>
      </c>
      <c r="I16" s="1">
        <v>34.5</v>
      </c>
      <c r="J16" s="6">
        <v>59.9</v>
      </c>
      <c r="K16" s="5">
        <v>0.36899999999999999</v>
      </c>
      <c r="L16" s="6" t="s">
        <v>22</v>
      </c>
      <c r="M16" s="1">
        <v>95</v>
      </c>
      <c r="N16" s="6" t="s">
        <v>22</v>
      </c>
      <c r="O16" s="1" t="s">
        <v>29</v>
      </c>
      <c r="P16" s="1">
        <v>3.7</v>
      </c>
      <c r="Q16" s="1" t="s">
        <v>22</v>
      </c>
      <c r="R16" s="6" t="s">
        <v>22</v>
      </c>
      <c r="S16" s="1">
        <v>10</v>
      </c>
      <c r="T16" s="1" t="s">
        <v>22</v>
      </c>
      <c r="U16" s="12">
        <v>1.6E-2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29.98</v>
      </c>
      <c r="F17" s="6" t="s">
        <v>22</v>
      </c>
      <c r="G17" s="1">
        <v>58.4</v>
      </c>
      <c r="H17" s="1" t="s">
        <v>22</v>
      </c>
      <c r="I17" s="1">
        <v>50.3</v>
      </c>
      <c r="J17" s="6">
        <v>65.3</v>
      </c>
      <c r="K17" s="5">
        <v>0.35699999999999998</v>
      </c>
      <c r="L17" s="6" t="s">
        <v>22</v>
      </c>
      <c r="M17" s="1">
        <v>73</v>
      </c>
      <c r="N17" s="6" t="s">
        <v>22</v>
      </c>
      <c r="O17" s="1" t="s">
        <v>26</v>
      </c>
      <c r="P17" s="1">
        <v>1</v>
      </c>
      <c r="Q17" s="1" t="s">
        <v>22</v>
      </c>
      <c r="R17" s="6" t="s">
        <v>22</v>
      </c>
      <c r="S17" s="1">
        <v>4</v>
      </c>
      <c r="T17" s="1" t="s">
        <v>22</v>
      </c>
      <c r="U17" s="12">
        <v>1.2E-2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29.91</v>
      </c>
      <c r="F18" s="6" t="s">
        <v>22</v>
      </c>
      <c r="G18" s="1">
        <v>56.8</v>
      </c>
      <c r="H18" s="1" t="s">
        <v>22</v>
      </c>
      <c r="I18" s="1">
        <v>50</v>
      </c>
      <c r="J18" s="6">
        <v>64</v>
      </c>
      <c r="K18" s="5">
        <v>0.374</v>
      </c>
      <c r="L18" s="6" t="s">
        <v>22</v>
      </c>
      <c r="M18" s="1">
        <v>81</v>
      </c>
      <c r="N18" s="6" t="s">
        <v>22</v>
      </c>
      <c r="O18" s="1" t="s">
        <v>25</v>
      </c>
      <c r="P18" s="1">
        <v>2.2999999999999998</v>
      </c>
      <c r="Q18" s="1" t="s">
        <v>22</v>
      </c>
      <c r="R18" s="6" t="s">
        <v>22</v>
      </c>
      <c r="S18" s="1">
        <v>10</v>
      </c>
      <c r="T18" s="1" t="s">
        <v>22</v>
      </c>
      <c r="U18" s="12">
        <v>2.4E-2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30.09</v>
      </c>
      <c r="F19" s="6" t="s">
        <v>22</v>
      </c>
      <c r="G19" s="1">
        <v>61.5</v>
      </c>
      <c r="H19" s="1" t="s">
        <v>22</v>
      </c>
      <c r="I19" s="1">
        <v>48.9</v>
      </c>
      <c r="J19" s="6">
        <v>68.2</v>
      </c>
      <c r="K19" s="5">
        <v>0.41299999999999998</v>
      </c>
      <c r="L19" s="6" t="s">
        <v>22</v>
      </c>
      <c r="M19" s="1">
        <v>77</v>
      </c>
      <c r="N19" s="6" t="s">
        <v>22</v>
      </c>
      <c r="O19" s="1" t="s">
        <v>28</v>
      </c>
      <c r="P19" s="1">
        <v>0.7</v>
      </c>
      <c r="Q19" s="1" t="s">
        <v>22</v>
      </c>
      <c r="R19" s="6" t="s">
        <v>22</v>
      </c>
      <c r="S19" s="1">
        <v>5</v>
      </c>
      <c r="T19" s="1" t="s">
        <v>22</v>
      </c>
      <c r="U19" s="12" t="s">
        <v>22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30.3</v>
      </c>
      <c r="F20" s="6" t="s">
        <v>22</v>
      </c>
      <c r="G20" s="1">
        <v>65.3</v>
      </c>
      <c r="H20" s="1" t="s">
        <v>22</v>
      </c>
      <c r="I20" s="1">
        <v>48.6</v>
      </c>
      <c r="J20" s="6">
        <v>74.8</v>
      </c>
      <c r="K20" s="5">
        <v>0.38800000000000001</v>
      </c>
      <c r="L20" s="6" t="s">
        <v>22</v>
      </c>
      <c r="M20" s="1">
        <v>62</v>
      </c>
      <c r="N20" s="6" t="s">
        <v>22</v>
      </c>
      <c r="O20" s="1" t="s">
        <v>24</v>
      </c>
      <c r="P20" s="1">
        <v>0.5</v>
      </c>
      <c r="Q20" s="1" t="s">
        <v>22</v>
      </c>
      <c r="R20" s="6" t="s">
        <v>22</v>
      </c>
      <c r="S20" s="1">
        <v>2</v>
      </c>
      <c r="T20" s="1" t="s">
        <v>22</v>
      </c>
      <c r="U20" s="12" t="s">
        <v>22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30.4</v>
      </c>
      <c r="F21" s="6" t="s">
        <v>22</v>
      </c>
      <c r="G21" s="1">
        <v>61.7</v>
      </c>
      <c r="H21" s="1" t="s">
        <v>22</v>
      </c>
      <c r="I21" s="1">
        <v>44.1</v>
      </c>
      <c r="J21" s="6">
        <v>71.5</v>
      </c>
      <c r="K21" s="5">
        <v>0.318</v>
      </c>
      <c r="L21" s="6" t="s">
        <v>22</v>
      </c>
      <c r="M21" s="1">
        <v>57</v>
      </c>
      <c r="N21" s="6" t="s">
        <v>22</v>
      </c>
      <c r="O21" s="1" t="s">
        <v>23</v>
      </c>
      <c r="P21" s="1">
        <v>0.8</v>
      </c>
      <c r="Q21" s="1" t="s">
        <v>22</v>
      </c>
      <c r="R21" s="6" t="s">
        <v>22</v>
      </c>
      <c r="S21" s="1">
        <v>2</v>
      </c>
      <c r="T21" s="1" t="s">
        <v>22</v>
      </c>
      <c r="U21" s="12" t="s">
        <v>22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30.32</v>
      </c>
      <c r="F22" s="6" t="s">
        <v>22</v>
      </c>
      <c r="G22" s="1">
        <v>57.3</v>
      </c>
      <c r="H22" s="1" t="s">
        <v>22</v>
      </c>
      <c r="I22" s="1">
        <v>47.3</v>
      </c>
      <c r="J22" s="6">
        <v>64.3</v>
      </c>
      <c r="K22" s="5">
        <v>0.29699999999999999</v>
      </c>
      <c r="L22" s="6" t="s">
        <v>22</v>
      </c>
      <c r="M22" s="1">
        <v>63</v>
      </c>
      <c r="N22" s="6" t="s">
        <v>22</v>
      </c>
      <c r="O22" s="1" t="s">
        <v>28</v>
      </c>
      <c r="P22" s="1">
        <v>1.5</v>
      </c>
      <c r="Q22" s="1" t="s">
        <v>22</v>
      </c>
      <c r="R22" s="6" t="s">
        <v>22</v>
      </c>
      <c r="S22" s="1">
        <v>7</v>
      </c>
      <c r="T22" s="1" t="s">
        <v>22</v>
      </c>
      <c r="U22" s="12" t="s">
        <v>22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30.08</v>
      </c>
      <c r="F23" s="6" t="s">
        <v>22</v>
      </c>
      <c r="G23" s="1">
        <v>54.3</v>
      </c>
      <c r="H23" s="1" t="s">
        <v>22</v>
      </c>
      <c r="I23" s="1">
        <v>47.2</v>
      </c>
      <c r="J23" s="6">
        <v>62</v>
      </c>
      <c r="K23" s="5">
        <v>0.30199999999999999</v>
      </c>
      <c r="L23" s="6" t="s">
        <v>22</v>
      </c>
      <c r="M23" s="1">
        <v>72</v>
      </c>
      <c r="N23" s="6" t="s">
        <v>22</v>
      </c>
      <c r="O23" s="1" t="s">
        <v>27</v>
      </c>
      <c r="P23" s="1">
        <v>1.8</v>
      </c>
      <c r="Q23" s="1" t="s">
        <v>22</v>
      </c>
      <c r="R23" s="6" t="s">
        <v>22</v>
      </c>
      <c r="S23" s="1">
        <v>10</v>
      </c>
      <c r="T23" s="1" t="s">
        <v>22</v>
      </c>
      <c r="U23" s="12" t="s">
        <v>22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30.06</v>
      </c>
      <c r="F24" s="6" t="s">
        <v>22</v>
      </c>
      <c r="G24" s="1">
        <v>51.8</v>
      </c>
      <c r="H24" s="1" t="s">
        <v>22</v>
      </c>
      <c r="I24" s="1">
        <v>48.2</v>
      </c>
      <c r="J24" s="6">
        <v>59.7</v>
      </c>
      <c r="K24" s="5">
        <v>0.33800000000000002</v>
      </c>
      <c r="L24" s="6" t="s">
        <v>22</v>
      </c>
      <c r="M24" s="1">
        <v>87</v>
      </c>
      <c r="N24" s="6" t="s">
        <v>22</v>
      </c>
      <c r="O24" s="1" t="s">
        <v>27</v>
      </c>
      <c r="P24" s="1">
        <v>1.1000000000000001</v>
      </c>
      <c r="Q24" s="1" t="s">
        <v>22</v>
      </c>
      <c r="R24" s="6" t="s">
        <v>22</v>
      </c>
      <c r="S24" s="1">
        <v>10</v>
      </c>
      <c r="T24" s="1" t="s">
        <v>22</v>
      </c>
      <c r="U24" s="12">
        <v>1.4999999999999999E-2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30.19</v>
      </c>
      <c r="F25" s="6" t="s">
        <v>22</v>
      </c>
      <c r="G25" s="1">
        <v>57.1</v>
      </c>
      <c r="H25" s="1" t="s">
        <v>22</v>
      </c>
      <c r="I25" s="1">
        <v>46</v>
      </c>
      <c r="J25" s="6">
        <v>64.900000000000006</v>
      </c>
      <c r="K25" s="5">
        <v>0.315</v>
      </c>
      <c r="L25" s="6" t="s">
        <v>22</v>
      </c>
      <c r="M25" s="1">
        <v>68</v>
      </c>
      <c r="N25" s="6" t="s">
        <v>22</v>
      </c>
      <c r="O25" s="1" t="s">
        <v>21</v>
      </c>
      <c r="P25" s="1">
        <v>0.4</v>
      </c>
      <c r="Q25" s="1" t="s">
        <v>22</v>
      </c>
      <c r="R25" s="6" t="s">
        <v>22</v>
      </c>
      <c r="S25" s="1">
        <v>2</v>
      </c>
      <c r="T25" s="1" t="s">
        <v>22</v>
      </c>
      <c r="U25" s="12" t="s">
        <v>22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30.19</v>
      </c>
      <c r="F26" s="6" t="s">
        <v>22</v>
      </c>
      <c r="G26" s="1">
        <v>62.8</v>
      </c>
      <c r="H26" s="1" t="s">
        <v>22</v>
      </c>
      <c r="I26" s="1">
        <v>37.6</v>
      </c>
      <c r="J26" s="6">
        <v>72.400000000000006</v>
      </c>
      <c r="K26" s="5">
        <v>0.30499999999999999</v>
      </c>
      <c r="L26" s="6" t="s">
        <v>22</v>
      </c>
      <c r="M26" s="1">
        <v>54</v>
      </c>
      <c r="N26" s="6" t="s">
        <v>22</v>
      </c>
      <c r="O26" s="1" t="s">
        <v>26</v>
      </c>
      <c r="P26" s="1">
        <v>0.7</v>
      </c>
      <c r="Q26" s="1" t="s">
        <v>22</v>
      </c>
      <c r="R26" s="6" t="s">
        <v>22</v>
      </c>
      <c r="S26" s="1">
        <v>0</v>
      </c>
      <c r="T26" s="1" t="s">
        <v>22</v>
      </c>
      <c r="U26" s="12" t="s">
        <v>22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30.17</v>
      </c>
      <c r="F27" s="6" t="s">
        <v>22</v>
      </c>
      <c r="G27" s="1">
        <v>66.8</v>
      </c>
      <c r="H27" s="1" t="s">
        <v>22</v>
      </c>
      <c r="I27" s="1">
        <v>37.4</v>
      </c>
      <c r="J27" s="6">
        <v>75.3</v>
      </c>
      <c r="K27" s="5">
        <v>0.40400000000000003</v>
      </c>
      <c r="L27" s="6" t="s">
        <v>22</v>
      </c>
      <c r="M27" s="1">
        <v>62</v>
      </c>
      <c r="N27" s="6" t="s">
        <v>22</v>
      </c>
      <c r="O27" s="1" t="s">
        <v>26</v>
      </c>
      <c r="P27" s="1">
        <v>1.8</v>
      </c>
      <c r="Q27" s="1" t="s">
        <v>22</v>
      </c>
      <c r="R27" s="6" t="s">
        <v>22</v>
      </c>
      <c r="S27" s="1">
        <v>0</v>
      </c>
      <c r="T27" s="1" t="s">
        <v>22</v>
      </c>
      <c r="U27" s="12" t="s">
        <v>22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30.13</v>
      </c>
      <c r="F28" s="6" t="s">
        <v>22</v>
      </c>
      <c r="G28" s="1">
        <v>62.6</v>
      </c>
      <c r="H28" s="1" t="s">
        <v>22</v>
      </c>
      <c r="I28" s="1">
        <v>43.9</v>
      </c>
      <c r="J28" s="6">
        <v>76.2</v>
      </c>
      <c r="K28" s="5">
        <v>0.36899999999999999</v>
      </c>
      <c r="L28" s="6" t="s">
        <v>22</v>
      </c>
      <c r="M28" s="1">
        <v>65</v>
      </c>
      <c r="N28" s="6" t="s">
        <v>22</v>
      </c>
      <c r="O28" s="1" t="s">
        <v>25</v>
      </c>
      <c r="P28" s="1">
        <v>1</v>
      </c>
      <c r="Q28" s="1" t="s">
        <v>22</v>
      </c>
      <c r="R28" s="6" t="s">
        <v>22</v>
      </c>
      <c r="S28" s="1">
        <v>0</v>
      </c>
      <c r="T28" s="1" t="s">
        <v>22</v>
      </c>
      <c r="U28" s="12" t="s">
        <v>22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29.96</v>
      </c>
      <c r="F29" s="6" t="s">
        <v>22</v>
      </c>
      <c r="G29" s="1">
        <v>62.9</v>
      </c>
      <c r="H29" s="1" t="s">
        <v>22</v>
      </c>
      <c r="I29" s="1">
        <v>43.3</v>
      </c>
      <c r="J29" s="6">
        <v>76.400000000000006</v>
      </c>
      <c r="K29" s="5">
        <v>0.38600000000000001</v>
      </c>
      <c r="L29" s="6" t="s">
        <v>22</v>
      </c>
      <c r="M29" s="1">
        <v>68</v>
      </c>
      <c r="N29" s="6" t="s">
        <v>22</v>
      </c>
      <c r="O29" s="1" t="s">
        <v>23</v>
      </c>
      <c r="P29" s="1">
        <v>0.5</v>
      </c>
      <c r="Q29" s="1" t="s">
        <v>22</v>
      </c>
      <c r="R29" s="6" t="s">
        <v>22</v>
      </c>
      <c r="S29" s="1">
        <v>2</v>
      </c>
      <c r="T29" s="1" t="s">
        <v>22</v>
      </c>
      <c r="U29" s="12" t="s">
        <v>22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29.63</v>
      </c>
      <c r="F30" s="6" t="s">
        <v>22</v>
      </c>
      <c r="G30" s="1">
        <v>56.1</v>
      </c>
      <c r="H30" s="1" t="s">
        <v>22</v>
      </c>
      <c r="I30" s="1">
        <v>48.4</v>
      </c>
      <c r="J30" s="6">
        <v>57.9</v>
      </c>
      <c r="K30" s="5">
        <v>0.42099999999999999</v>
      </c>
      <c r="L30" s="6" t="s">
        <v>22</v>
      </c>
      <c r="M30" s="1">
        <v>93</v>
      </c>
      <c r="N30" s="6" t="s">
        <v>22</v>
      </c>
      <c r="O30" s="1" t="s">
        <v>33</v>
      </c>
      <c r="P30" s="1">
        <v>0</v>
      </c>
      <c r="Q30" s="1" t="s">
        <v>22</v>
      </c>
      <c r="R30" s="6" t="s">
        <v>22</v>
      </c>
      <c r="S30" s="1">
        <v>10</v>
      </c>
      <c r="T30" s="1" t="s">
        <v>22</v>
      </c>
      <c r="U30" s="12">
        <v>0.60099999999999998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30</v>
      </c>
      <c r="F31" s="6" t="s">
        <v>22</v>
      </c>
      <c r="G31" s="1">
        <v>57.2</v>
      </c>
      <c r="H31" s="1" t="s">
        <v>22</v>
      </c>
      <c r="I31" s="1">
        <v>43.3</v>
      </c>
      <c r="J31" s="6">
        <v>64.3</v>
      </c>
      <c r="K31" s="5">
        <v>0.33800000000000002</v>
      </c>
      <c r="L31" s="6" t="s">
        <v>22</v>
      </c>
      <c r="M31" s="1">
        <v>72</v>
      </c>
      <c r="N31" s="6" t="s">
        <v>22</v>
      </c>
      <c r="O31" s="1" t="s">
        <v>27</v>
      </c>
      <c r="P31" s="1">
        <v>0.3</v>
      </c>
      <c r="Q31" s="1" t="s">
        <v>22</v>
      </c>
      <c r="R31" s="6" t="s">
        <v>22</v>
      </c>
      <c r="S31" s="1">
        <v>0</v>
      </c>
      <c r="T31" s="1">
        <v>10</v>
      </c>
      <c r="U31" s="12" t="s">
        <v>22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30.07</v>
      </c>
      <c r="F32" s="6" t="s">
        <v>22</v>
      </c>
      <c r="G32" s="1">
        <v>60.3</v>
      </c>
      <c r="H32" s="1" t="s">
        <v>22</v>
      </c>
      <c r="I32" s="1">
        <v>40.1</v>
      </c>
      <c r="J32" s="6">
        <v>66.8</v>
      </c>
      <c r="K32" s="5">
        <v>0.32700000000000001</v>
      </c>
      <c r="L32" s="6" t="s">
        <v>22</v>
      </c>
      <c r="M32" s="1">
        <v>63</v>
      </c>
      <c r="N32" s="6" t="s">
        <v>22</v>
      </c>
      <c r="O32" s="1" t="s">
        <v>27</v>
      </c>
      <c r="P32" s="1">
        <v>1.5</v>
      </c>
      <c r="Q32" s="1" t="s">
        <v>22</v>
      </c>
      <c r="R32" s="6" t="s">
        <v>22</v>
      </c>
      <c r="S32" s="1">
        <v>5</v>
      </c>
      <c r="T32" s="1" t="s">
        <v>22</v>
      </c>
      <c r="U32" s="12" t="s">
        <v>22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30.03</v>
      </c>
      <c r="F33" s="6" t="s">
        <v>22</v>
      </c>
      <c r="G33" s="1">
        <v>60.8</v>
      </c>
      <c r="H33" s="1" t="s">
        <v>22</v>
      </c>
      <c r="I33" s="1">
        <v>44.6</v>
      </c>
      <c r="J33" s="6">
        <v>64.5</v>
      </c>
      <c r="K33" s="5">
        <v>0.41599999999999998</v>
      </c>
      <c r="L33" s="6" t="s">
        <v>22</v>
      </c>
      <c r="M33" s="1">
        <v>79</v>
      </c>
      <c r="N33" s="6" t="s">
        <v>22</v>
      </c>
      <c r="O33" s="1" t="s">
        <v>25</v>
      </c>
      <c r="P33" s="1">
        <v>1</v>
      </c>
      <c r="Q33" s="1" t="s">
        <v>22</v>
      </c>
      <c r="R33" s="6" t="s">
        <v>22</v>
      </c>
      <c r="S33" s="1">
        <v>10</v>
      </c>
      <c r="T33" s="1" t="s">
        <v>22</v>
      </c>
      <c r="U33" s="12" t="s">
        <v>22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30.2</v>
      </c>
      <c r="F34" s="6" t="s">
        <v>22</v>
      </c>
      <c r="G34" s="1">
        <v>59.3</v>
      </c>
      <c r="H34" s="1" t="s">
        <v>22</v>
      </c>
      <c r="I34" s="1">
        <v>42.3</v>
      </c>
      <c r="J34" s="6">
        <v>67.599999999999994</v>
      </c>
      <c r="K34" s="5">
        <v>0.33</v>
      </c>
      <c r="L34" s="6" t="s">
        <v>22</v>
      </c>
      <c r="M34" s="1">
        <v>66</v>
      </c>
      <c r="N34" s="6" t="s">
        <v>22</v>
      </c>
      <c r="O34" s="1" t="s">
        <v>25</v>
      </c>
      <c r="P34" s="1">
        <v>1.3</v>
      </c>
      <c r="Q34" s="1" t="s">
        <v>22</v>
      </c>
      <c r="R34" s="6" t="s">
        <v>22</v>
      </c>
      <c r="S34" s="1">
        <v>3</v>
      </c>
      <c r="T34" s="1" t="s">
        <v>22</v>
      </c>
      <c r="U34" s="12" t="s">
        <v>22</v>
      </c>
    </row>
    <row r="35" spans="1:21" s="1" customFormat="1">
      <c r="A35" s="5" t="s">
        <v>72</v>
      </c>
      <c r="B35" s="1">
        <v>1883</v>
      </c>
      <c r="C35" s="1" t="s">
        <v>20</v>
      </c>
      <c r="D35" s="8">
        <v>31</v>
      </c>
      <c r="E35" s="7">
        <v>30.24</v>
      </c>
      <c r="F35" s="9" t="s">
        <v>22</v>
      </c>
      <c r="G35" s="8">
        <v>62.7</v>
      </c>
      <c r="H35" s="8" t="s">
        <v>22</v>
      </c>
      <c r="I35" s="8">
        <v>39</v>
      </c>
      <c r="J35" s="9">
        <v>68.5</v>
      </c>
      <c r="K35" s="7">
        <v>0.34</v>
      </c>
      <c r="L35" s="9" t="s">
        <v>22</v>
      </c>
      <c r="M35" s="8">
        <v>60</v>
      </c>
      <c r="N35" s="9" t="s">
        <v>22</v>
      </c>
      <c r="O35" s="8" t="s">
        <v>27</v>
      </c>
      <c r="P35" s="8">
        <v>1.2</v>
      </c>
      <c r="Q35" s="8" t="s">
        <v>22</v>
      </c>
      <c r="R35" s="9" t="s">
        <v>22</v>
      </c>
      <c r="S35" s="8">
        <v>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29.975999999999999</v>
      </c>
      <c r="F36" s="16" t="s">
        <v>22</v>
      </c>
      <c r="G36" s="14">
        <v>54.6</v>
      </c>
      <c r="H36" s="15" t="s">
        <v>22</v>
      </c>
      <c r="I36" s="15">
        <v>41.7</v>
      </c>
      <c r="J36" s="16">
        <v>62.8</v>
      </c>
      <c r="K36" s="15">
        <v>0.318</v>
      </c>
      <c r="L36" s="15" t="s">
        <v>22</v>
      </c>
      <c r="M36" s="14">
        <v>74.400000000000006</v>
      </c>
      <c r="N36" s="16" t="s">
        <v>22</v>
      </c>
      <c r="O36" s="14" t="s">
        <v>22</v>
      </c>
      <c r="P36" s="15">
        <v>1.2</v>
      </c>
      <c r="Q36" s="15" t="s">
        <v>22</v>
      </c>
      <c r="R36" s="16" t="s">
        <v>22</v>
      </c>
      <c r="S36" s="14">
        <v>5.9</v>
      </c>
      <c r="T36" s="16" t="s">
        <v>22</v>
      </c>
      <c r="U36" s="17">
        <v>1.907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D2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29.72</v>
      </c>
      <c r="F5" s="6">
        <v>29.83</v>
      </c>
      <c r="G5" s="1">
        <v>48</v>
      </c>
      <c r="H5" s="1">
        <v>47</v>
      </c>
      <c r="I5" s="1">
        <v>46.4</v>
      </c>
      <c r="J5" s="6">
        <v>60.9</v>
      </c>
      <c r="K5" s="5">
        <v>0.28999999999999998</v>
      </c>
      <c r="L5" s="6">
        <v>0.26800000000000002</v>
      </c>
      <c r="M5" s="1">
        <v>87</v>
      </c>
      <c r="N5" s="6">
        <v>84</v>
      </c>
      <c r="O5" s="1" t="s">
        <v>24</v>
      </c>
      <c r="P5" s="1">
        <v>3</v>
      </c>
      <c r="Q5" s="1" t="s">
        <v>24</v>
      </c>
      <c r="R5" s="6">
        <v>3.5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29.92</v>
      </c>
      <c r="F6" s="6">
        <v>29.92</v>
      </c>
      <c r="G6" s="1">
        <v>44.5</v>
      </c>
      <c r="H6" s="1">
        <v>44</v>
      </c>
      <c r="I6" s="1">
        <v>41.1</v>
      </c>
      <c r="J6" s="6">
        <v>51.6</v>
      </c>
      <c r="K6" s="5">
        <v>0.22500000000000001</v>
      </c>
      <c r="L6" s="6">
        <v>0.22</v>
      </c>
      <c r="M6" s="1">
        <v>76</v>
      </c>
      <c r="N6" s="6">
        <v>76</v>
      </c>
      <c r="O6" s="1" t="s">
        <v>24</v>
      </c>
      <c r="P6" s="1">
        <v>3</v>
      </c>
      <c r="Q6" s="1" t="s">
        <v>24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29.87</v>
      </c>
      <c r="F7" s="6">
        <v>29.85</v>
      </c>
      <c r="G7" s="1">
        <v>47.6</v>
      </c>
      <c r="H7" s="1">
        <v>42.9</v>
      </c>
      <c r="I7" s="1">
        <v>37</v>
      </c>
      <c r="J7" s="6">
        <v>53.4</v>
      </c>
      <c r="K7" s="5">
        <v>0.20899999999999999</v>
      </c>
      <c r="L7" s="6">
        <v>0.255</v>
      </c>
      <c r="M7" s="1">
        <v>64</v>
      </c>
      <c r="N7" s="6">
        <v>92</v>
      </c>
      <c r="O7" s="1" t="s">
        <v>35</v>
      </c>
      <c r="P7" s="1">
        <v>2.5</v>
      </c>
      <c r="Q7" s="1" t="s">
        <v>35</v>
      </c>
      <c r="R7" s="6">
        <v>1</v>
      </c>
      <c r="S7" s="1">
        <v>10</v>
      </c>
      <c r="T7" s="1">
        <v>10</v>
      </c>
      <c r="U7" s="12">
        <v>0.13200000000000001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29.86</v>
      </c>
      <c r="F8" s="6">
        <v>29.86</v>
      </c>
      <c r="G8" s="1">
        <v>47.1</v>
      </c>
      <c r="H8" s="1">
        <v>40</v>
      </c>
      <c r="I8" s="1">
        <v>33.299999999999997</v>
      </c>
      <c r="J8" s="6">
        <v>52.1</v>
      </c>
      <c r="K8" s="5">
        <v>0.20499999999999999</v>
      </c>
      <c r="L8" s="6">
        <v>0.19800000000000001</v>
      </c>
      <c r="M8" s="1">
        <v>64</v>
      </c>
      <c r="N8" s="6">
        <v>80</v>
      </c>
      <c r="O8" s="1" t="s">
        <v>24</v>
      </c>
      <c r="P8" s="1">
        <v>3</v>
      </c>
      <c r="Q8" s="1" t="s">
        <v>35</v>
      </c>
      <c r="R8" s="6">
        <v>2</v>
      </c>
      <c r="S8" s="1">
        <v>3</v>
      </c>
      <c r="T8" s="1">
        <v>5</v>
      </c>
      <c r="U8" s="12" t="s">
        <v>22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29.86</v>
      </c>
      <c r="F9" s="6">
        <v>29.84</v>
      </c>
      <c r="G9" s="1">
        <v>43.7</v>
      </c>
      <c r="H9" s="1">
        <v>46.4</v>
      </c>
      <c r="I9" s="1">
        <v>31.4</v>
      </c>
      <c r="J9" s="6">
        <v>53.4</v>
      </c>
      <c r="K9" s="5">
        <v>0.20399999999999999</v>
      </c>
      <c r="L9" s="6">
        <v>0.24</v>
      </c>
      <c r="M9" s="1">
        <v>72</v>
      </c>
      <c r="N9" s="6">
        <v>77</v>
      </c>
      <c r="O9" s="1" t="s">
        <v>28</v>
      </c>
      <c r="P9" s="1">
        <v>2</v>
      </c>
      <c r="Q9" s="1" t="s">
        <v>24</v>
      </c>
      <c r="R9" s="6">
        <v>1</v>
      </c>
      <c r="S9" s="1">
        <v>6</v>
      </c>
      <c r="T9" s="1">
        <v>9</v>
      </c>
      <c r="U9" s="12">
        <v>7.0000000000000007E-2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29.85</v>
      </c>
      <c r="F10" s="6">
        <v>29.79</v>
      </c>
      <c r="G10" s="1">
        <v>55.6</v>
      </c>
      <c r="H10" s="1">
        <v>53.4</v>
      </c>
      <c r="I10" s="1">
        <v>43.1</v>
      </c>
      <c r="J10" s="6">
        <v>66.3</v>
      </c>
      <c r="K10" s="5">
        <v>0.33700000000000002</v>
      </c>
      <c r="L10" s="6">
        <v>0.32</v>
      </c>
      <c r="M10" s="1">
        <v>76</v>
      </c>
      <c r="N10" s="6">
        <v>79</v>
      </c>
      <c r="O10" s="1" t="s">
        <v>35</v>
      </c>
      <c r="P10" s="1">
        <v>3</v>
      </c>
      <c r="Q10" s="1" t="s">
        <v>24</v>
      </c>
      <c r="R10" s="6">
        <v>5</v>
      </c>
      <c r="S10" s="1">
        <v>9</v>
      </c>
      <c r="T10" s="1">
        <v>5</v>
      </c>
      <c r="U10" s="12">
        <v>0.22500000000000001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29.68</v>
      </c>
      <c r="F11" s="6">
        <v>29.67</v>
      </c>
      <c r="G11" s="1">
        <v>48.4</v>
      </c>
      <c r="H11" s="1">
        <v>46.9</v>
      </c>
      <c r="I11" s="1">
        <v>46</v>
      </c>
      <c r="J11" s="6">
        <v>56.5</v>
      </c>
      <c r="K11" s="5">
        <v>0.32600000000000001</v>
      </c>
      <c r="L11" s="6">
        <v>0.26100000000000001</v>
      </c>
      <c r="M11" s="1">
        <v>96</v>
      </c>
      <c r="N11" s="6">
        <v>82</v>
      </c>
      <c r="O11" s="1" t="s">
        <v>29</v>
      </c>
      <c r="P11" s="1">
        <v>1.5</v>
      </c>
      <c r="Q11" s="1" t="s">
        <v>25</v>
      </c>
      <c r="R11" s="6">
        <v>1</v>
      </c>
      <c r="S11" s="1">
        <v>10</v>
      </c>
      <c r="T11" s="1">
        <v>0</v>
      </c>
      <c r="U11" s="12">
        <v>0.04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29.6</v>
      </c>
      <c r="F12" s="6">
        <v>29.53</v>
      </c>
      <c r="G12" s="1">
        <v>47.1</v>
      </c>
      <c r="H12" s="1">
        <v>46.4</v>
      </c>
      <c r="I12" s="1">
        <v>42</v>
      </c>
      <c r="J12" s="6">
        <v>48.7</v>
      </c>
      <c r="K12" s="5">
        <v>0.29699999999999999</v>
      </c>
      <c r="L12" s="6">
        <v>0.28899999999999998</v>
      </c>
      <c r="M12" s="1">
        <v>92</v>
      </c>
      <c r="N12" s="6">
        <v>92</v>
      </c>
      <c r="O12" s="1" t="s">
        <v>24</v>
      </c>
      <c r="P12" s="1">
        <v>1</v>
      </c>
      <c r="Q12" s="1" t="s">
        <v>27</v>
      </c>
      <c r="R12" s="6">
        <v>1</v>
      </c>
      <c r="S12" s="1">
        <v>10</v>
      </c>
      <c r="T12" s="1">
        <v>10</v>
      </c>
      <c r="U12" s="12">
        <v>0.14000000000000001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29.52</v>
      </c>
      <c r="F13" s="6">
        <v>29.56</v>
      </c>
      <c r="G13" s="1">
        <v>47.7</v>
      </c>
      <c r="H13" s="1">
        <v>43.9</v>
      </c>
      <c r="I13" s="1">
        <v>37</v>
      </c>
      <c r="J13" s="6">
        <v>52.6</v>
      </c>
      <c r="K13" s="5">
        <v>0.28899999999999998</v>
      </c>
      <c r="L13" s="6">
        <v>0.245</v>
      </c>
      <c r="M13" s="1">
        <v>88</v>
      </c>
      <c r="N13" s="6">
        <v>85</v>
      </c>
      <c r="O13" s="1" t="s">
        <v>24</v>
      </c>
      <c r="P13" s="1">
        <v>2</v>
      </c>
      <c r="Q13" s="1" t="s">
        <v>24</v>
      </c>
      <c r="R13" s="6">
        <v>4.5</v>
      </c>
      <c r="S13" s="1">
        <v>8</v>
      </c>
      <c r="T13" s="1">
        <v>10</v>
      </c>
      <c r="U13" s="12">
        <v>0.29099999999999998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29.64</v>
      </c>
      <c r="F14" s="6">
        <v>29.8</v>
      </c>
      <c r="G14" s="1">
        <v>38.9</v>
      </c>
      <c r="H14" s="1">
        <v>41.8</v>
      </c>
      <c r="I14" s="1">
        <v>37.5</v>
      </c>
      <c r="J14" s="6">
        <v>47.5</v>
      </c>
      <c r="K14" s="5">
        <v>0.22500000000000001</v>
      </c>
      <c r="L14" s="6">
        <v>0.247</v>
      </c>
      <c r="M14" s="1">
        <v>95</v>
      </c>
      <c r="N14" s="6">
        <v>93</v>
      </c>
      <c r="O14" s="1" t="s">
        <v>24</v>
      </c>
      <c r="P14" s="1">
        <v>2</v>
      </c>
      <c r="Q14" s="1" t="s">
        <v>36</v>
      </c>
      <c r="R14" s="6">
        <v>1.5</v>
      </c>
      <c r="S14" s="1">
        <v>10</v>
      </c>
      <c r="T14" s="1">
        <v>10</v>
      </c>
      <c r="U14" s="12">
        <v>6.0999999999999999E-2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29.94</v>
      </c>
      <c r="F15" s="6">
        <v>29.96</v>
      </c>
      <c r="G15" s="1">
        <v>50.8</v>
      </c>
      <c r="H15" s="1">
        <v>43.9</v>
      </c>
      <c r="I15" s="1">
        <v>37.1</v>
      </c>
      <c r="J15" s="6">
        <v>53.8</v>
      </c>
      <c r="K15" s="5">
        <v>0.25700000000000001</v>
      </c>
      <c r="L15" s="6">
        <v>0.27</v>
      </c>
      <c r="M15" s="1">
        <v>69</v>
      </c>
      <c r="N15" s="6">
        <v>95</v>
      </c>
      <c r="O15" s="1" t="s">
        <v>36</v>
      </c>
      <c r="P15" s="1">
        <v>4</v>
      </c>
      <c r="Q15" s="1" t="s">
        <v>29</v>
      </c>
      <c r="R15" s="6">
        <v>2</v>
      </c>
      <c r="S15" s="1">
        <v>7</v>
      </c>
      <c r="T15" s="1">
        <v>10</v>
      </c>
      <c r="U15" s="12">
        <v>0.75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29.85</v>
      </c>
      <c r="F16" s="6">
        <v>29.99</v>
      </c>
      <c r="G16" s="1">
        <v>51</v>
      </c>
      <c r="H16" s="1">
        <v>51.8</v>
      </c>
      <c r="I16" s="1">
        <v>43.4</v>
      </c>
      <c r="J16" s="6">
        <v>53.6</v>
      </c>
      <c r="K16" s="5">
        <v>0.36599999999999999</v>
      </c>
      <c r="L16" s="6">
        <v>0.35399999999999998</v>
      </c>
      <c r="M16" s="1">
        <v>98</v>
      </c>
      <c r="N16" s="6">
        <v>91</v>
      </c>
      <c r="O16" s="1" t="s">
        <v>43</v>
      </c>
      <c r="P16" s="1">
        <v>4</v>
      </c>
      <c r="Q16" s="1" t="s">
        <v>25</v>
      </c>
      <c r="R16" s="6">
        <v>3.5</v>
      </c>
      <c r="S16" s="1">
        <v>10</v>
      </c>
      <c r="T16" s="1">
        <v>10</v>
      </c>
      <c r="U16" s="12">
        <v>2.8000000000000001E-2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30</v>
      </c>
      <c r="F17" s="6">
        <v>29.9</v>
      </c>
      <c r="G17" s="1">
        <v>58.8</v>
      </c>
      <c r="H17" s="1">
        <v>54.3</v>
      </c>
      <c r="I17" s="1">
        <v>50.7</v>
      </c>
      <c r="J17" s="6">
        <v>64.5</v>
      </c>
      <c r="K17" s="5">
        <v>0.36</v>
      </c>
      <c r="L17" s="6">
        <v>0.36</v>
      </c>
      <c r="M17" s="1">
        <v>73</v>
      </c>
      <c r="N17" s="6">
        <v>85</v>
      </c>
      <c r="O17" s="1" t="s">
        <v>25</v>
      </c>
      <c r="P17" s="1">
        <v>5</v>
      </c>
      <c r="Q17" s="1" t="s">
        <v>25</v>
      </c>
      <c r="R17" s="6">
        <v>1.5</v>
      </c>
      <c r="S17" s="1">
        <v>1</v>
      </c>
      <c r="T17" s="1">
        <v>10</v>
      </c>
      <c r="U17" s="12">
        <v>3.1E-2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29.93</v>
      </c>
      <c r="F18" s="6">
        <v>29.98</v>
      </c>
      <c r="G18" s="1">
        <v>54</v>
      </c>
      <c r="H18" s="1">
        <v>52.8</v>
      </c>
      <c r="I18" s="1">
        <v>51.2</v>
      </c>
      <c r="J18" s="6">
        <v>56.6</v>
      </c>
      <c r="K18" s="5">
        <v>0.39100000000000001</v>
      </c>
      <c r="L18" s="6">
        <v>0.38</v>
      </c>
      <c r="M18" s="1">
        <v>94</v>
      </c>
      <c r="N18" s="6">
        <v>95</v>
      </c>
      <c r="O18" s="1" t="s">
        <v>25</v>
      </c>
      <c r="P18" s="1">
        <v>2.5</v>
      </c>
      <c r="Q18" s="1" t="s">
        <v>39</v>
      </c>
      <c r="R18" s="6">
        <v>1</v>
      </c>
      <c r="S18" s="1">
        <v>10</v>
      </c>
      <c r="T18" s="1">
        <v>10</v>
      </c>
      <c r="U18" s="12">
        <v>4.4999999999999998E-2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30.08</v>
      </c>
      <c r="F19" s="6">
        <v>30.18</v>
      </c>
      <c r="G19" s="1">
        <v>62.6</v>
      </c>
      <c r="H19" s="1">
        <v>58.5</v>
      </c>
      <c r="I19" s="1">
        <v>49.7</v>
      </c>
      <c r="J19" s="6">
        <v>67.3</v>
      </c>
      <c r="K19" s="5">
        <v>0.40300000000000002</v>
      </c>
      <c r="L19" s="6">
        <v>0.41399999999999998</v>
      </c>
      <c r="M19" s="1">
        <v>71</v>
      </c>
      <c r="N19" s="6">
        <v>84</v>
      </c>
      <c r="O19" s="1" t="s">
        <v>24</v>
      </c>
      <c r="P19" s="1">
        <v>1.5</v>
      </c>
      <c r="Q19" s="1" t="s">
        <v>24</v>
      </c>
      <c r="R19" s="6">
        <v>1.5</v>
      </c>
      <c r="S19" s="1">
        <v>9</v>
      </c>
      <c r="T19" s="1">
        <v>7</v>
      </c>
      <c r="U19" s="12">
        <v>1.0999999999999999E-2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30.28</v>
      </c>
      <c r="F20" s="6">
        <v>30.32</v>
      </c>
      <c r="G20" s="1">
        <v>68</v>
      </c>
      <c r="H20" s="1">
        <v>59.4</v>
      </c>
      <c r="I20" s="1">
        <v>51.9</v>
      </c>
      <c r="J20" s="6">
        <v>75.599999999999994</v>
      </c>
      <c r="K20" s="5">
        <v>0.44700000000000001</v>
      </c>
      <c r="L20" s="6">
        <v>0.40799999999999997</v>
      </c>
      <c r="M20" s="1">
        <v>65</v>
      </c>
      <c r="N20" s="6">
        <v>81</v>
      </c>
      <c r="O20" s="1" t="s">
        <v>24</v>
      </c>
      <c r="P20" s="1">
        <v>2</v>
      </c>
      <c r="Q20" s="1" t="s">
        <v>24</v>
      </c>
      <c r="R20" s="6">
        <v>1</v>
      </c>
      <c r="S20" s="1">
        <v>3</v>
      </c>
      <c r="T20" s="1">
        <v>0</v>
      </c>
      <c r="U20" s="12" t="s">
        <v>22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30.39</v>
      </c>
      <c r="F21" s="6">
        <v>30.34</v>
      </c>
      <c r="G21" s="1">
        <v>63.7</v>
      </c>
      <c r="H21" s="1">
        <v>53.2</v>
      </c>
      <c r="I21" s="1">
        <v>48</v>
      </c>
      <c r="J21" s="6">
        <v>66.400000000000006</v>
      </c>
      <c r="K21" s="5">
        <v>0.35299999999999998</v>
      </c>
      <c r="L21" s="6">
        <v>0.28999999999999998</v>
      </c>
      <c r="M21" s="1">
        <v>60</v>
      </c>
      <c r="N21" s="6">
        <v>72</v>
      </c>
      <c r="O21" s="1" t="s">
        <v>42</v>
      </c>
      <c r="P21" s="1">
        <v>2</v>
      </c>
      <c r="Q21" s="1" t="s">
        <v>21</v>
      </c>
      <c r="R21" s="6">
        <v>1</v>
      </c>
      <c r="S21" s="1">
        <v>4</v>
      </c>
      <c r="T21" s="1">
        <v>0</v>
      </c>
      <c r="U21" s="12" t="s">
        <v>22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30.3</v>
      </c>
      <c r="F22" s="6">
        <v>30.16</v>
      </c>
      <c r="G22" s="1">
        <v>58</v>
      </c>
      <c r="H22" s="1">
        <v>54.1</v>
      </c>
      <c r="I22" s="1">
        <v>46.5</v>
      </c>
      <c r="J22" s="6">
        <v>65.7</v>
      </c>
      <c r="K22" s="5">
        <v>0.307</v>
      </c>
      <c r="L22" s="6">
        <v>0.30199999999999999</v>
      </c>
      <c r="M22" s="1">
        <v>64</v>
      </c>
      <c r="N22" s="6">
        <v>73</v>
      </c>
      <c r="O22" s="1" t="s">
        <v>34</v>
      </c>
      <c r="P22" s="1">
        <v>3</v>
      </c>
      <c r="Q22" s="1" t="s">
        <v>27</v>
      </c>
      <c r="R22" s="6">
        <v>1</v>
      </c>
      <c r="S22" s="1">
        <v>9</v>
      </c>
      <c r="T22" s="1">
        <v>9</v>
      </c>
      <c r="U22" s="12" t="s">
        <v>22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30.09</v>
      </c>
      <c r="F23" s="6">
        <v>30.04</v>
      </c>
      <c r="G23" s="1">
        <v>55.6</v>
      </c>
      <c r="H23" s="1">
        <v>53.7</v>
      </c>
      <c r="I23" s="1">
        <v>47.3</v>
      </c>
      <c r="J23" s="6">
        <v>61.6</v>
      </c>
      <c r="K23" s="5">
        <v>0.314</v>
      </c>
      <c r="L23" s="6">
        <v>0.32200000000000001</v>
      </c>
      <c r="M23" s="1">
        <v>71</v>
      </c>
      <c r="N23" s="6">
        <v>78</v>
      </c>
      <c r="O23" s="1" t="s">
        <v>27</v>
      </c>
      <c r="P23" s="1">
        <v>2.5</v>
      </c>
      <c r="Q23" s="1" t="s">
        <v>27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30.06</v>
      </c>
      <c r="F24" s="6">
        <v>30.1</v>
      </c>
      <c r="G24" s="1">
        <v>53.9</v>
      </c>
      <c r="H24" s="1">
        <v>54</v>
      </c>
      <c r="I24" s="1">
        <v>50.8</v>
      </c>
      <c r="J24" s="6">
        <v>61.5</v>
      </c>
      <c r="K24" s="5">
        <v>0.36399999999999999</v>
      </c>
      <c r="L24" s="6">
        <v>0.39100000000000001</v>
      </c>
      <c r="M24" s="1">
        <v>88</v>
      </c>
      <c r="N24" s="6">
        <v>94</v>
      </c>
      <c r="O24" s="1" t="s">
        <v>27</v>
      </c>
      <c r="P24" s="1">
        <v>1.5</v>
      </c>
      <c r="Q24" s="1" t="s">
        <v>42</v>
      </c>
      <c r="R24" s="6">
        <v>1</v>
      </c>
      <c r="S24" s="1">
        <v>10</v>
      </c>
      <c r="T24" s="1">
        <v>10</v>
      </c>
      <c r="U24" s="12">
        <v>5.7000000000000002E-2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30.19</v>
      </c>
      <c r="F25" s="6">
        <v>30.19</v>
      </c>
      <c r="G25" s="1">
        <v>55.1</v>
      </c>
      <c r="H25" s="1">
        <v>51.1</v>
      </c>
      <c r="I25" s="1">
        <v>48.9</v>
      </c>
      <c r="J25" s="6">
        <v>60.2</v>
      </c>
      <c r="K25" s="5">
        <v>0.317</v>
      </c>
      <c r="L25" s="6">
        <v>0.29299999999999998</v>
      </c>
      <c r="M25" s="1">
        <v>73</v>
      </c>
      <c r="N25" s="6">
        <v>78</v>
      </c>
      <c r="O25" s="1" t="s">
        <v>38</v>
      </c>
      <c r="P25" s="1">
        <v>2</v>
      </c>
      <c r="Q25" s="1" t="s">
        <v>21</v>
      </c>
      <c r="R25" s="6">
        <v>1</v>
      </c>
      <c r="S25" s="1">
        <v>10</v>
      </c>
      <c r="T25" s="1">
        <v>3</v>
      </c>
      <c r="U25" s="12" t="s">
        <v>22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30.18</v>
      </c>
      <c r="F26" s="6">
        <v>30.18</v>
      </c>
      <c r="G26" s="1">
        <v>63.9</v>
      </c>
      <c r="H26" s="1">
        <v>54.8</v>
      </c>
      <c r="I26" s="1">
        <v>41.8</v>
      </c>
      <c r="J26" s="6">
        <v>67.599999999999994</v>
      </c>
      <c r="K26" s="5">
        <v>0.35099999999999998</v>
      </c>
      <c r="L26" s="6">
        <v>0.34</v>
      </c>
      <c r="M26" s="1">
        <v>59</v>
      </c>
      <c r="N26" s="6">
        <v>79</v>
      </c>
      <c r="O26" s="1" t="s">
        <v>21</v>
      </c>
      <c r="P26" s="1">
        <v>1.5</v>
      </c>
      <c r="Q26" s="1" t="s">
        <v>29</v>
      </c>
      <c r="R26" s="6">
        <v>1</v>
      </c>
      <c r="S26" s="1">
        <v>0</v>
      </c>
      <c r="T26" s="1">
        <v>0</v>
      </c>
      <c r="U26" s="12" t="s">
        <v>22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30.16</v>
      </c>
      <c r="F27" s="6">
        <v>30.14</v>
      </c>
      <c r="G27" s="1">
        <v>69.900000000000006</v>
      </c>
      <c r="H27" s="1">
        <v>57</v>
      </c>
      <c r="I27" s="1">
        <v>46.3</v>
      </c>
      <c r="J27" s="6">
        <v>75.099999999999994</v>
      </c>
      <c r="K27" s="5">
        <v>0.43</v>
      </c>
      <c r="L27" s="6">
        <v>0.40799999999999997</v>
      </c>
      <c r="M27" s="1">
        <v>59</v>
      </c>
      <c r="N27" s="6">
        <v>88</v>
      </c>
      <c r="O27" s="1" t="s">
        <v>25</v>
      </c>
      <c r="P27" s="1">
        <v>2</v>
      </c>
      <c r="Q27" s="1" t="s">
        <v>25</v>
      </c>
      <c r="R27" s="6">
        <v>2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30.14</v>
      </c>
      <c r="F28" s="6">
        <v>30.07</v>
      </c>
      <c r="G28" s="1">
        <v>62.9</v>
      </c>
      <c r="H28" s="1">
        <v>54.5</v>
      </c>
      <c r="I28" s="1">
        <v>46.1</v>
      </c>
      <c r="J28" s="6">
        <v>69.5</v>
      </c>
      <c r="K28" s="5">
        <v>0.37</v>
      </c>
      <c r="L28" s="6">
        <v>0.379</v>
      </c>
      <c r="M28" s="1">
        <v>65</v>
      </c>
      <c r="N28" s="6">
        <v>89</v>
      </c>
      <c r="O28" s="1" t="s">
        <v>25</v>
      </c>
      <c r="P28" s="1">
        <v>2</v>
      </c>
      <c r="Q28" s="1" t="s">
        <v>25</v>
      </c>
      <c r="R28" s="6">
        <v>1.5</v>
      </c>
      <c r="S28" s="1">
        <v>0</v>
      </c>
      <c r="T28" s="1">
        <v>1</v>
      </c>
      <c r="U28" s="12" t="s">
        <v>22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29.93</v>
      </c>
      <c r="F29" s="6">
        <v>29.74</v>
      </c>
      <c r="G29" s="1">
        <v>64.8</v>
      </c>
      <c r="H29" s="1">
        <v>55.7</v>
      </c>
      <c r="I29" s="1">
        <v>47.1</v>
      </c>
      <c r="J29" s="6">
        <v>72.099999999999994</v>
      </c>
      <c r="K29" s="5">
        <v>0.41</v>
      </c>
      <c r="L29" s="6">
        <v>0.36599999999999999</v>
      </c>
      <c r="M29" s="1">
        <v>67</v>
      </c>
      <c r="N29" s="6">
        <v>82</v>
      </c>
      <c r="O29" s="1" t="s">
        <v>42</v>
      </c>
      <c r="P29" s="1">
        <v>1.5</v>
      </c>
      <c r="Q29" s="1" t="s">
        <v>25</v>
      </c>
      <c r="R29" s="6">
        <v>1.5</v>
      </c>
      <c r="S29" s="1">
        <v>4</v>
      </c>
      <c r="T29" s="1">
        <v>1</v>
      </c>
      <c r="U29" s="12">
        <v>0.33500000000000002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29.6</v>
      </c>
      <c r="F30" s="6">
        <v>29.79</v>
      </c>
      <c r="G30" s="1">
        <v>55.2</v>
      </c>
      <c r="H30" s="1">
        <v>54.1</v>
      </c>
      <c r="I30" s="1">
        <v>50</v>
      </c>
      <c r="J30" s="6">
        <v>58.2</v>
      </c>
      <c r="K30" s="5">
        <v>0.42199999999999999</v>
      </c>
      <c r="L30" s="6">
        <v>0.38400000000000001</v>
      </c>
      <c r="M30" s="1">
        <v>97</v>
      </c>
      <c r="N30" s="6">
        <v>91</v>
      </c>
      <c r="O30" s="1" t="s">
        <v>28</v>
      </c>
      <c r="P30" s="1">
        <v>3</v>
      </c>
      <c r="Q30" s="1" t="s">
        <v>34</v>
      </c>
      <c r="R30" s="6">
        <v>2</v>
      </c>
      <c r="S30" s="1">
        <v>10</v>
      </c>
      <c r="T30" s="1">
        <v>10</v>
      </c>
      <c r="U30" s="12">
        <v>0.35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29.99</v>
      </c>
      <c r="F31" s="6">
        <v>30.07</v>
      </c>
      <c r="G31" s="1">
        <v>58.2</v>
      </c>
      <c r="H31" s="1">
        <v>53.8</v>
      </c>
      <c r="I31" s="1">
        <v>45</v>
      </c>
      <c r="J31" s="6">
        <v>67</v>
      </c>
      <c r="K31" s="5">
        <v>0.32300000000000001</v>
      </c>
      <c r="L31" s="6">
        <v>0.308</v>
      </c>
      <c r="M31" s="1">
        <v>67</v>
      </c>
      <c r="N31" s="6">
        <v>75</v>
      </c>
      <c r="O31" s="1" t="s">
        <v>34</v>
      </c>
      <c r="P31" s="1">
        <v>1.5</v>
      </c>
      <c r="Q31" s="1" t="s">
        <v>25</v>
      </c>
      <c r="R31" s="6">
        <v>1</v>
      </c>
      <c r="S31" s="1">
        <v>2</v>
      </c>
      <c r="T31" s="1">
        <v>2</v>
      </c>
      <c r="U31" s="12" t="s">
        <v>22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30.09</v>
      </c>
      <c r="F32" s="6">
        <v>30.07</v>
      </c>
      <c r="G32" s="1">
        <v>60.1</v>
      </c>
      <c r="H32" s="1">
        <v>53.3</v>
      </c>
      <c r="I32" s="1">
        <v>46.1</v>
      </c>
      <c r="J32" s="6">
        <v>63.9</v>
      </c>
      <c r="K32" s="5">
        <v>0.318</v>
      </c>
      <c r="L32" s="6">
        <v>0.32100000000000001</v>
      </c>
      <c r="M32" s="1">
        <v>62</v>
      </c>
      <c r="N32" s="6">
        <v>79</v>
      </c>
      <c r="O32" s="1" t="s">
        <v>25</v>
      </c>
      <c r="P32" s="1">
        <v>3</v>
      </c>
      <c r="Q32" s="1" t="s">
        <v>38</v>
      </c>
      <c r="R32" s="6">
        <v>2</v>
      </c>
      <c r="S32" s="1">
        <v>1</v>
      </c>
      <c r="T32" s="1">
        <v>1</v>
      </c>
      <c r="U32" s="12" t="s">
        <v>22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30.03</v>
      </c>
      <c r="F33" s="6">
        <v>30.11</v>
      </c>
      <c r="G33" s="1">
        <v>58.7</v>
      </c>
      <c r="H33" s="1">
        <v>54.1</v>
      </c>
      <c r="I33" s="1">
        <v>50.7</v>
      </c>
      <c r="J33" s="6">
        <v>64.599999999999994</v>
      </c>
      <c r="K33" s="5">
        <v>0.41399999999999998</v>
      </c>
      <c r="L33" s="6">
        <v>0.309</v>
      </c>
      <c r="M33" s="1">
        <v>84</v>
      </c>
      <c r="N33" s="6">
        <v>74</v>
      </c>
      <c r="O33" s="1" t="s">
        <v>25</v>
      </c>
      <c r="P33" s="1">
        <v>3.5</v>
      </c>
      <c r="Q33" s="1" t="s">
        <v>27</v>
      </c>
      <c r="R33" s="6">
        <v>2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30.21</v>
      </c>
      <c r="F34" s="6">
        <v>30.25</v>
      </c>
      <c r="G34" s="1">
        <v>59.4</v>
      </c>
      <c r="H34" s="1">
        <v>53.7</v>
      </c>
      <c r="I34" s="1">
        <v>46.4</v>
      </c>
      <c r="J34" s="6">
        <v>65.2</v>
      </c>
      <c r="K34" s="5">
        <v>0.32800000000000001</v>
      </c>
      <c r="L34" s="6">
        <v>0.33700000000000002</v>
      </c>
      <c r="M34" s="1">
        <v>65</v>
      </c>
      <c r="N34" s="6">
        <v>81</v>
      </c>
      <c r="O34" s="1" t="s">
        <v>27</v>
      </c>
      <c r="P34" s="1">
        <v>1</v>
      </c>
      <c r="Q34" s="1" t="s">
        <v>26</v>
      </c>
      <c r="R34" s="6">
        <v>2</v>
      </c>
      <c r="S34" s="1">
        <v>7</v>
      </c>
      <c r="T34" s="1">
        <v>0</v>
      </c>
      <c r="U34" s="12" t="s">
        <v>22</v>
      </c>
    </row>
    <row r="35" spans="1:21" s="1" customFormat="1">
      <c r="A35" s="5" t="s">
        <v>73</v>
      </c>
      <c r="B35" s="1">
        <v>1883</v>
      </c>
      <c r="C35" s="1" t="s">
        <v>20</v>
      </c>
      <c r="D35" s="8">
        <v>31</v>
      </c>
      <c r="E35" s="7">
        <v>30.25</v>
      </c>
      <c r="F35" s="9">
        <v>30.15</v>
      </c>
      <c r="G35" s="8">
        <v>62.3</v>
      </c>
      <c r="H35" s="8">
        <v>53.8</v>
      </c>
      <c r="I35" s="8">
        <v>42.2</v>
      </c>
      <c r="J35" s="9">
        <v>66.3</v>
      </c>
      <c r="K35" s="7">
        <v>0.39100000000000001</v>
      </c>
      <c r="L35" s="9">
        <v>0.317</v>
      </c>
      <c r="M35" s="8">
        <v>70</v>
      </c>
      <c r="N35" s="9">
        <v>76</v>
      </c>
      <c r="O35" s="8" t="s">
        <v>25</v>
      </c>
      <c r="P35" s="8">
        <v>2</v>
      </c>
      <c r="Q35" s="8" t="s">
        <v>39</v>
      </c>
      <c r="R35" s="9">
        <v>1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29.974</v>
      </c>
      <c r="F36" s="16">
        <v>29.978999999999999</v>
      </c>
      <c r="G36" s="14">
        <v>55.3</v>
      </c>
      <c r="H36" s="15">
        <v>51.1</v>
      </c>
      <c r="I36" s="15">
        <v>44.6</v>
      </c>
      <c r="J36" s="16">
        <v>61.3</v>
      </c>
      <c r="K36" s="15">
        <v>0.33</v>
      </c>
      <c r="L36" s="15">
        <v>0.316</v>
      </c>
      <c r="M36" s="14">
        <v>75.2</v>
      </c>
      <c r="N36" s="16">
        <v>83.2</v>
      </c>
      <c r="O36" s="14" t="s">
        <v>22</v>
      </c>
      <c r="P36" s="15">
        <v>2.4</v>
      </c>
      <c r="Q36" s="15" t="s">
        <v>22</v>
      </c>
      <c r="R36" s="16">
        <v>1.8</v>
      </c>
      <c r="S36" s="14">
        <v>6.6</v>
      </c>
      <c r="T36" s="16">
        <v>5.6</v>
      </c>
      <c r="U36" s="17">
        <v>2.5659999999999998</v>
      </c>
    </row>
    <row r="37" spans="1:21">
      <c r="E37">
        <f>SUM(E5:E35)/31</f>
        <v>29.974516129032256</v>
      </c>
      <c r="F37">
        <f>SUM(F5:F35)/31</f>
        <v>29.98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7"/>
  <sheetViews>
    <sheetView topLeftCell="D20" workbookViewId="0">
      <selection activeCell="I37" sqref="I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29.7</v>
      </c>
      <c r="F5" s="6">
        <v>29.78</v>
      </c>
      <c r="G5" s="1">
        <v>50.5</v>
      </c>
      <c r="H5" s="1">
        <v>48</v>
      </c>
      <c r="I5" s="1">
        <v>43.8</v>
      </c>
      <c r="J5" s="6">
        <v>61</v>
      </c>
      <c r="K5" s="5">
        <v>0.29699999999999999</v>
      </c>
      <c r="L5" s="6">
        <v>0.23499999999999999</v>
      </c>
      <c r="M5" s="1">
        <v>81</v>
      </c>
      <c r="N5" s="6">
        <v>71</v>
      </c>
      <c r="O5" s="1" t="s">
        <v>28</v>
      </c>
      <c r="P5" s="1">
        <v>2</v>
      </c>
      <c r="Q5" s="1" t="s">
        <v>23</v>
      </c>
      <c r="R5" s="6">
        <v>5</v>
      </c>
      <c r="S5" s="1">
        <v>10</v>
      </c>
      <c r="T5" s="1">
        <v>2</v>
      </c>
      <c r="U5" s="12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29.89</v>
      </c>
      <c r="F6" s="6">
        <v>29.89</v>
      </c>
      <c r="G6" s="1">
        <v>44.5</v>
      </c>
      <c r="H6" s="1">
        <v>43.6</v>
      </c>
      <c r="I6" s="1">
        <v>41</v>
      </c>
      <c r="J6" s="6">
        <v>48.9</v>
      </c>
      <c r="K6" s="5">
        <v>0.214</v>
      </c>
      <c r="L6" s="6">
        <v>0.21099999999999999</v>
      </c>
      <c r="M6" s="1">
        <v>73</v>
      </c>
      <c r="N6" s="6">
        <v>75</v>
      </c>
      <c r="O6" s="1" t="s">
        <v>35</v>
      </c>
      <c r="P6" s="1">
        <v>3</v>
      </c>
      <c r="Q6" s="1" t="s">
        <v>35</v>
      </c>
      <c r="R6" s="6">
        <v>3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29.85</v>
      </c>
      <c r="F7" s="6">
        <v>29.83</v>
      </c>
      <c r="G7" s="1">
        <v>47.8</v>
      </c>
      <c r="H7" s="1">
        <v>42.8</v>
      </c>
      <c r="I7" s="1">
        <v>39.700000000000003</v>
      </c>
      <c r="J7" s="6">
        <v>52.1</v>
      </c>
      <c r="K7" s="5">
        <v>0.219</v>
      </c>
      <c r="L7" s="6">
        <v>0.24199999999999999</v>
      </c>
      <c r="M7" s="1">
        <v>66</v>
      </c>
      <c r="N7" s="6">
        <v>88</v>
      </c>
      <c r="O7" s="1" t="s">
        <v>28</v>
      </c>
      <c r="P7" s="1">
        <v>2</v>
      </c>
      <c r="Q7" s="1" t="s">
        <v>24</v>
      </c>
      <c r="R7" s="6">
        <v>2</v>
      </c>
      <c r="S7" s="1">
        <v>6</v>
      </c>
      <c r="T7" s="1">
        <v>10</v>
      </c>
      <c r="U7" s="12">
        <v>6.0000000000000001E-3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29.83</v>
      </c>
      <c r="F8" s="6">
        <v>29.85</v>
      </c>
      <c r="G8" s="1">
        <v>42</v>
      </c>
      <c r="H8" s="1">
        <v>38.700000000000003</v>
      </c>
      <c r="I8" s="1">
        <v>36.200000000000003</v>
      </c>
      <c r="J8" s="6">
        <v>49.6</v>
      </c>
      <c r="K8" s="5">
        <v>0.19</v>
      </c>
      <c r="L8" s="6">
        <v>0.191</v>
      </c>
      <c r="M8" s="1">
        <v>72</v>
      </c>
      <c r="N8" s="6">
        <v>82</v>
      </c>
      <c r="O8" s="1" t="s">
        <v>28</v>
      </c>
      <c r="P8" s="1">
        <v>2</v>
      </c>
      <c r="Q8" s="1" t="s">
        <v>24</v>
      </c>
      <c r="R8" s="6">
        <v>1</v>
      </c>
      <c r="S8" s="1">
        <v>7</v>
      </c>
      <c r="T8" s="1">
        <v>0</v>
      </c>
      <c r="U8" s="12" t="s">
        <v>22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29.84</v>
      </c>
      <c r="F9" s="6">
        <v>29.82</v>
      </c>
      <c r="G9" s="1">
        <v>47.1</v>
      </c>
      <c r="H9" s="1">
        <v>46.2</v>
      </c>
      <c r="I9" s="1">
        <v>33.9</v>
      </c>
      <c r="J9" s="6">
        <v>55.6</v>
      </c>
      <c r="K9" s="5">
        <v>0.223</v>
      </c>
      <c r="L9" s="6">
        <v>0.27200000000000002</v>
      </c>
      <c r="M9" s="1">
        <v>70</v>
      </c>
      <c r="N9" s="6">
        <v>88</v>
      </c>
      <c r="O9" s="1" t="s">
        <v>24</v>
      </c>
      <c r="P9" s="1">
        <v>3</v>
      </c>
      <c r="Q9" s="1" t="s">
        <v>24</v>
      </c>
      <c r="R9" s="6">
        <v>3</v>
      </c>
      <c r="S9" s="1">
        <v>0</v>
      </c>
      <c r="T9" s="1">
        <v>0</v>
      </c>
      <c r="U9" s="12" t="s">
        <v>22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29.8</v>
      </c>
      <c r="F10" s="6">
        <v>29.75</v>
      </c>
      <c r="G10" s="1">
        <v>57.1</v>
      </c>
      <c r="H10" s="1">
        <v>49.8</v>
      </c>
      <c r="I10" s="1">
        <v>44</v>
      </c>
      <c r="J10" s="6">
        <v>65.099999999999994</v>
      </c>
      <c r="K10" s="5">
        <v>0.34</v>
      </c>
      <c r="L10" s="6">
        <v>0.307</v>
      </c>
      <c r="M10" s="1">
        <v>72</v>
      </c>
      <c r="N10" s="6">
        <v>86</v>
      </c>
      <c r="O10" s="1" t="s">
        <v>24</v>
      </c>
      <c r="P10" s="1">
        <v>4</v>
      </c>
      <c r="Q10" s="1" t="s">
        <v>35</v>
      </c>
      <c r="R10" s="6">
        <v>5</v>
      </c>
      <c r="S10" s="1">
        <v>5</v>
      </c>
      <c r="T10" s="1">
        <v>3</v>
      </c>
      <c r="U10" s="12">
        <v>0.17899999999999999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29.72</v>
      </c>
      <c r="F11" s="6">
        <v>29.69</v>
      </c>
      <c r="G11" s="1">
        <v>47.6</v>
      </c>
      <c r="H11" s="1">
        <v>47.6</v>
      </c>
      <c r="I11" s="1">
        <v>47.1</v>
      </c>
      <c r="J11" s="6">
        <v>53.4</v>
      </c>
      <c r="K11" s="5">
        <v>0.32500000000000001</v>
      </c>
      <c r="L11" s="6">
        <v>0.27</v>
      </c>
      <c r="M11" s="1">
        <v>97</v>
      </c>
      <c r="N11" s="6">
        <v>83</v>
      </c>
      <c r="O11" s="1" t="s">
        <v>43</v>
      </c>
      <c r="P11" s="1">
        <v>2</v>
      </c>
      <c r="Q11" s="1" t="s">
        <v>33</v>
      </c>
      <c r="R11" s="6">
        <v>0</v>
      </c>
      <c r="S11" s="1">
        <v>10</v>
      </c>
      <c r="T11" s="1">
        <v>0</v>
      </c>
      <c r="U11" s="12">
        <v>0.219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29.59</v>
      </c>
      <c r="F12" s="6">
        <v>29.53</v>
      </c>
      <c r="G12" s="1">
        <v>45.6</v>
      </c>
      <c r="H12" s="1">
        <v>46.6</v>
      </c>
      <c r="I12" s="1">
        <v>44.1</v>
      </c>
      <c r="J12" s="6">
        <v>48.7</v>
      </c>
      <c r="K12" s="5">
        <v>0.28299999999999997</v>
      </c>
      <c r="L12" s="6">
        <v>0.29799999999999999</v>
      </c>
      <c r="M12" s="1">
        <v>93</v>
      </c>
      <c r="N12" s="6">
        <v>95</v>
      </c>
      <c r="O12" s="1" t="s">
        <v>28</v>
      </c>
      <c r="P12" s="1">
        <v>3</v>
      </c>
      <c r="Q12" s="1" t="s">
        <v>28</v>
      </c>
      <c r="R12" s="6">
        <v>1</v>
      </c>
      <c r="S12" s="1">
        <v>10</v>
      </c>
      <c r="T12" s="1">
        <v>10</v>
      </c>
      <c r="U12" s="12">
        <v>0.16600000000000001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29.51</v>
      </c>
      <c r="F13" s="6">
        <v>29.56</v>
      </c>
      <c r="G13" s="1">
        <v>48</v>
      </c>
      <c r="H13" s="1">
        <v>43.9</v>
      </c>
      <c r="I13" s="1">
        <v>43.9</v>
      </c>
      <c r="J13" s="6">
        <v>51.3</v>
      </c>
      <c r="K13" s="5">
        <v>0.29499999999999998</v>
      </c>
      <c r="L13" s="6">
        <v>0.27800000000000002</v>
      </c>
      <c r="M13" s="1">
        <v>89</v>
      </c>
      <c r="N13" s="6">
        <v>97</v>
      </c>
      <c r="O13" s="1" t="s">
        <v>28</v>
      </c>
      <c r="P13" s="1">
        <v>1</v>
      </c>
      <c r="Q13" s="1" t="s">
        <v>35</v>
      </c>
      <c r="R13" s="6">
        <v>1</v>
      </c>
      <c r="S13" s="1">
        <v>10</v>
      </c>
      <c r="T13" s="1">
        <v>3</v>
      </c>
      <c r="U13" s="12">
        <v>0.51400000000000001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29.62</v>
      </c>
      <c r="F14" s="6">
        <v>29.76</v>
      </c>
      <c r="G14" s="1">
        <v>46.6</v>
      </c>
      <c r="H14" s="1">
        <v>42.6</v>
      </c>
      <c r="I14" s="1">
        <v>41</v>
      </c>
      <c r="J14" s="6">
        <v>50</v>
      </c>
      <c r="K14" s="5">
        <v>0.23100000000000001</v>
      </c>
      <c r="L14" s="6">
        <v>0.23</v>
      </c>
      <c r="M14" s="1">
        <v>73</v>
      </c>
      <c r="N14" s="6">
        <v>85</v>
      </c>
      <c r="O14" s="1" t="s">
        <v>25</v>
      </c>
      <c r="P14" s="1">
        <v>3</v>
      </c>
      <c r="Q14" s="1" t="s">
        <v>36</v>
      </c>
      <c r="R14" s="6">
        <v>1</v>
      </c>
      <c r="S14" s="1">
        <v>3</v>
      </c>
      <c r="T14" s="1">
        <v>6</v>
      </c>
      <c r="U14" s="12" t="s">
        <v>22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29.93</v>
      </c>
      <c r="F15" s="6">
        <v>30.02</v>
      </c>
      <c r="G15" s="1">
        <v>48.6</v>
      </c>
      <c r="H15" s="1">
        <v>44.6</v>
      </c>
      <c r="I15" s="1">
        <v>38.1</v>
      </c>
      <c r="J15" s="6">
        <v>49.1</v>
      </c>
      <c r="K15" s="5">
        <v>0.23499999999999999</v>
      </c>
      <c r="L15" s="6">
        <v>0.252</v>
      </c>
      <c r="M15" s="1">
        <v>68</v>
      </c>
      <c r="N15" s="6">
        <v>86</v>
      </c>
      <c r="O15" s="1" t="s">
        <v>36</v>
      </c>
      <c r="P15" s="1">
        <v>2</v>
      </c>
      <c r="Q15" s="1" t="s">
        <v>26</v>
      </c>
      <c r="R15" s="6">
        <v>4</v>
      </c>
      <c r="S15" s="1">
        <v>5</v>
      </c>
      <c r="T15" s="1">
        <v>10</v>
      </c>
      <c r="U15" s="12">
        <v>0.373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29.92</v>
      </c>
      <c r="F16" s="6">
        <v>30.04</v>
      </c>
      <c r="G16" s="1">
        <v>48.8</v>
      </c>
      <c r="H16" s="1">
        <v>49.8</v>
      </c>
      <c r="I16" s="1">
        <v>43.6</v>
      </c>
      <c r="J16" s="6">
        <v>52</v>
      </c>
      <c r="K16" s="5">
        <v>0.34300000000000003</v>
      </c>
      <c r="L16" s="6">
        <v>0.34</v>
      </c>
      <c r="M16" s="1">
        <v>98</v>
      </c>
      <c r="N16" s="6">
        <v>95</v>
      </c>
      <c r="O16" s="1" t="s">
        <v>25</v>
      </c>
      <c r="P16" s="1">
        <v>4</v>
      </c>
      <c r="Q16" s="1" t="s">
        <v>43</v>
      </c>
      <c r="R16" s="6">
        <v>4</v>
      </c>
      <c r="S16" s="1">
        <v>10</v>
      </c>
      <c r="T16" s="1">
        <v>8</v>
      </c>
      <c r="U16" s="12">
        <v>8.5000000000000006E-2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30.07</v>
      </c>
      <c r="F17" s="6">
        <v>29.94</v>
      </c>
      <c r="G17" s="1">
        <v>52.7</v>
      </c>
      <c r="H17" s="1">
        <v>58.7</v>
      </c>
      <c r="I17" s="1">
        <v>49.4</v>
      </c>
      <c r="J17" s="6">
        <v>60.8</v>
      </c>
      <c r="K17" s="5">
        <v>0.34399999999999997</v>
      </c>
      <c r="L17" s="6">
        <v>0.374</v>
      </c>
      <c r="M17" s="1">
        <v>86</v>
      </c>
      <c r="N17" s="6">
        <v>76</v>
      </c>
      <c r="O17" s="1" t="s">
        <v>39</v>
      </c>
      <c r="P17" s="1">
        <v>4</v>
      </c>
      <c r="Q17" s="1" t="s">
        <v>37</v>
      </c>
      <c r="R17" s="6">
        <v>2</v>
      </c>
      <c r="S17" s="1">
        <v>0</v>
      </c>
      <c r="T17" s="1">
        <v>7</v>
      </c>
      <c r="U17" s="12">
        <v>0.01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29.94</v>
      </c>
      <c r="F18" s="6">
        <v>30</v>
      </c>
      <c r="G18" s="1">
        <v>60.4</v>
      </c>
      <c r="H18" s="1">
        <v>57.9</v>
      </c>
      <c r="I18" s="1">
        <v>50</v>
      </c>
      <c r="J18" s="6">
        <v>63.3</v>
      </c>
      <c r="K18" s="5">
        <v>0.378</v>
      </c>
      <c r="L18" s="6">
        <v>0.38400000000000001</v>
      </c>
      <c r="M18" s="1">
        <v>72</v>
      </c>
      <c r="N18" s="6">
        <v>80</v>
      </c>
      <c r="O18" s="1" t="s">
        <v>25</v>
      </c>
      <c r="P18" s="1">
        <v>1</v>
      </c>
      <c r="Q18" s="1" t="s">
        <v>33</v>
      </c>
      <c r="R18" s="6">
        <v>0</v>
      </c>
      <c r="S18" s="1">
        <v>6</v>
      </c>
      <c r="T18" s="1">
        <v>9</v>
      </c>
      <c r="U18" s="12">
        <v>4.1000000000000002E-2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30.07</v>
      </c>
      <c r="F19" s="6">
        <v>30.17</v>
      </c>
      <c r="G19" s="1">
        <v>66.7</v>
      </c>
      <c r="H19" s="1">
        <v>57.8</v>
      </c>
      <c r="I19" s="1">
        <v>54.6</v>
      </c>
      <c r="J19" s="6">
        <v>71</v>
      </c>
      <c r="K19" s="5">
        <v>0.442</v>
      </c>
      <c r="L19" s="6">
        <v>0.38700000000000001</v>
      </c>
      <c r="M19" s="1">
        <v>68</v>
      </c>
      <c r="N19" s="6">
        <v>81</v>
      </c>
      <c r="O19" s="1" t="s">
        <v>28</v>
      </c>
      <c r="P19" s="1">
        <v>1</v>
      </c>
      <c r="Q19" s="1" t="s">
        <v>24</v>
      </c>
      <c r="R19" s="6">
        <v>2</v>
      </c>
      <c r="S19" s="1">
        <v>1</v>
      </c>
      <c r="T19" s="1">
        <v>0</v>
      </c>
      <c r="U19" s="12" t="s">
        <v>22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30.26</v>
      </c>
      <c r="F20" s="6">
        <v>30.33</v>
      </c>
      <c r="G20" s="1">
        <v>67.099999999999994</v>
      </c>
      <c r="H20" s="1">
        <v>55.6</v>
      </c>
      <c r="I20" s="1">
        <v>52.1</v>
      </c>
      <c r="J20" s="6">
        <v>71.400000000000006</v>
      </c>
      <c r="K20" s="5">
        <v>0.41</v>
      </c>
      <c r="L20" s="6">
        <v>0.35699999999999998</v>
      </c>
      <c r="M20" s="1">
        <v>62</v>
      </c>
      <c r="N20" s="6">
        <v>80</v>
      </c>
      <c r="O20" s="1" t="s">
        <v>42</v>
      </c>
      <c r="P20" s="1">
        <v>3</v>
      </c>
      <c r="Q20" s="1" t="s">
        <v>24</v>
      </c>
      <c r="R20" s="6">
        <v>3</v>
      </c>
      <c r="S20" s="1">
        <v>2</v>
      </c>
      <c r="T20" s="1">
        <v>0</v>
      </c>
      <c r="U20" s="12" t="s">
        <v>22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30.38</v>
      </c>
      <c r="F21" s="6">
        <v>30.34</v>
      </c>
      <c r="G21" s="1">
        <v>63.1</v>
      </c>
      <c r="H21" s="1">
        <v>51.5</v>
      </c>
      <c r="I21" s="1">
        <v>48</v>
      </c>
      <c r="J21" s="6">
        <v>63.2</v>
      </c>
      <c r="K21" s="5">
        <v>0.33100000000000002</v>
      </c>
      <c r="L21" s="6">
        <v>0.33</v>
      </c>
      <c r="M21" s="1">
        <v>58</v>
      </c>
      <c r="N21" s="6">
        <v>87</v>
      </c>
      <c r="O21" s="1" t="s">
        <v>42</v>
      </c>
      <c r="P21" s="1">
        <v>2</v>
      </c>
      <c r="Q21" s="1" t="s">
        <v>23</v>
      </c>
      <c r="R21" s="6">
        <v>1</v>
      </c>
      <c r="S21" s="1">
        <v>0</v>
      </c>
      <c r="T21" s="1">
        <v>0</v>
      </c>
      <c r="U21" s="12" t="s">
        <v>22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30.27</v>
      </c>
      <c r="F22" s="6">
        <v>30.12</v>
      </c>
      <c r="G22" s="1">
        <v>55.9</v>
      </c>
      <c r="H22" s="1">
        <v>51.1</v>
      </c>
      <c r="I22" s="1">
        <v>47</v>
      </c>
      <c r="J22" s="6">
        <v>64.599999999999994</v>
      </c>
      <c r="K22" s="5">
        <v>0.308</v>
      </c>
      <c r="L22" s="6">
        <v>0.27500000000000002</v>
      </c>
      <c r="M22" s="1">
        <v>69</v>
      </c>
      <c r="N22" s="6">
        <v>74</v>
      </c>
      <c r="O22" s="1" t="s">
        <v>36</v>
      </c>
      <c r="P22" s="1">
        <v>1</v>
      </c>
      <c r="Q22" s="1" t="s">
        <v>33</v>
      </c>
      <c r="R22" s="6">
        <v>0</v>
      </c>
      <c r="S22" s="1">
        <v>9</v>
      </c>
      <c r="T22" s="1">
        <v>6</v>
      </c>
      <c r="U22" s="12" t="s">
        <v>22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30.05</v>
      </c>
      <c r="F23" s="6">
        <v>30.01</v>
      </c>
      <c r="G23" s="1">
        <v>55.1</v>
      </c>
      <c r="H23" s="1">
        <v>54.6</v>
      </c>
      <c r="I23" s="1">
        <v>47.9</v>
      </c>
      <c r="J23" s="6">
        <v>61.2</v>
      </c>
      <c r="K23" s="5">
        <v>0.29199999999999998</v>
      </c>
      <c r="L23" s="6">
        <v>0.317</v>
      </c>
      <c r="M23" s="1">
        <v>68</v>
      </c>
      <c r="N23" s="6">
        <v>75</v>
      </c>
      <c r="O23" s="1" t="s">
        <v>27</v>
      </c>
      <c r="P23" s="1">
        <v>2</v>
      </c>
      <c r="Q23" s="1" t="s">
        <v>26</v>
      </c>
      <c r="R23" s="6">
        <v>1</v>
      </c>
      <c r="S23" s="1">
        <v>10</v>
      </c>
      <c r="T23" s="1">
        <v>9</v>
      </c>
      <c r="U23" s="12" t="s">
        <v>22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30.06</v>
      </c>
      <c r="F24" s="6">
        <v>30.14</v>
      </c>
      <c r="G24" s="1">
        <v>51.4</v>
      </c>
      <c r="H24" s="1">
        <v>49.7</v>
      </c>
      <c r="I24" s="1">
        <v>49.1</v>
      </c>
      <c r="J24" s="6">
        <v>55.6</v>
      </c>
      <c r="K24" s="5">
        <v>0.28399999999999997</v>
      </c>
      <c r="L24" s="6">
        <v>0.27200000000000002</v>
      </c>
      <c r="M24" s="1">
        <v>75</v>
      </c>
      <c r="N24" s="6">
        <v>77</v>
      </c>
      <c r="O24" s="1" t="s">
        <v>38</v>
      </c>
      <c r="P24" s="1">
        <v>1</v>
      </c>
      <c r="Q24" s="1" t="s">
        <v>38</v>
      </c>
      <c r="R24" s="6">
        <v>1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30.22</v>
      </c>
      <c r="F25" s="6">
        <v>30.21</v>
      </c>
      <c r="G25" s="1">
        <v>54.4</v>
      </c>
      <c r="H25" s="1">
        <v>48.8</v>
      </c>
      <c r="I25" s="1">
        <v>47.9</v>
      </c>
      <c r="J25" s="6">
        <v>56.6</v>
      </c>
      <c r="K25" s="5">
        <v>0.27900000000000003</v>
      </c>
      <c r="L25" s="6">
        <v>0.22900000000000001</v>
      </c>
      <c r="M25" s="1">
        <v>66</v>
      </c>
      <c r="N25" s="6">
        <v>66</v>
      </c>
      <c r="O25" s="1" t="s">
        <v>21</v>
      </c>
      <c r="P25" s="1">
        <v>3</v>
      </c>
      <c r="Q25" s="1" t="s">
        <v>37</v>
      </c>
      <c r="R25" s="6">
        <v>1</v>
      </c>
      <c r="S25" s="1">
        <v>0</v>
      </c>
      <c r="T25" s="1">
        <v>2</v>
      </c>
      <c r="U25" s="12" t="s">
        <v>22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30.21</v>
      </c>
      <c r="F26" s="6">
        <v>30.18</v>
      </c>
      <c r="G26" s="1">
        <v>57.3</v>
      </c>
      <c r="H26" s="1">
        <v>56.3</v>
      </c>
      <c r="I26" s="1">
        <v>46.8</v>
      </c>
      <c r="J26" s="6">
        <v>62.6</v>
      </c>
      <c r="K26" s="5">
        <v>0.33600000000000002</v>
      </c>
      <c r="L26" s="6">
        <v>0.27700000000000002</v>
      </c>
      <c r="M26" s="1">
        <v>72</v>
      </c>
      <c r="N26" s="6">
        <v>61</v>
      </c>
      <c r="O26" s="1" t="s">
        <v>37</v>
      </c>
      <c r="P26" s="1">
        <v>1</v>
      </c>
      <c r="Q26" s="1" t="s">
        <v>33</v>
      </c>
      <c r="R26" s="6">
        <v>0</v>
      </c>
      <c r="S26" s="1">
        <v>0</v>
      </c>
      <c r="T26" s="1">
        <v>0</v>
      </c>
      <c r="U26" s="12" t="s">
        <v>22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30.18</v>
      </c>
      <c r="F27" s="6">
        <v>30.15</v>
      </c>
      <c r="G27" s="1">
        <v>58.1</v>
      </c>
      <c r="H27" s="1">
        <v>54.4</v>
      </c>
      <c r="I27" s="1">
        <v>50.2</v>
      </c>
      <c r="J27" s="6">
        <v>63.1</v>
      </c>
      <c r="K27" s="5">
        <v>0.36599999999999999</v>
      </c>
      <c r="L27" s="6">
        <v>0.33300000000000002</v>
      </c>
      <c r="M27" s="1">
        <v>76</v>
      </c>
      <c r="N27" s="6">
        <v>79</v>
      </c>
      <c r="O27" s="1" t="s">
        <v>33</v>
      </c>
      <c r="P27" s="1">
        <v>0</v>
      </c>
      <c r="Q27" s="1" t="s">
        <v>26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30.15</v>
      </c>
      <c r="F28" s="6">
        <v>30.1</v>
      </c>
      <c r="G28" s="1">
        <v>56</v>
      </c>
      <c r="H28" s="1">
        <v>51.6</v>
      </c>
      <c r="I28" s="1">
        <v>48.2</v>
      </c>
      <c r="J28" s="6">
        <v>57.1</v>
      </c>
      <c r="K28" s="5">
        <v>0.38300000000000001</v>
      </c>
      <c r="L28" s="6">
        <v>0.34499999999999997</v>
      </c>
      <c r="M28" s="1">
        <v>85</v>
      </c>
      <c r="N28" s="6">
        <v>90</v>
      </c>
      <c r="O28" s="1" t="s">
        <v>43</v>
      </c>
      <c r="P28" s="1">
        <v>3</v>
      </c>
      <c r="Q28" s="1" t="s">
        <v>26</v>
      </c>
      <c r="R28" s="6">
        <v>2</v>
      </c>
      <c r="S28" s="1">
        <v>0</v>
      </c>
      <c r="T28" s="1">
        <v>0</v>
      </c>
      <c r="U28" s="12">
        <v>0.27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29.95</v>
      </c>
      <c r="F29" s="6">
        <v>29.77</v>
      </c>
      <c r="G29" s="1">
        <v>59.1</v>
      </c>
      <c r="H29" s="1">
        <v>55.6</v>
      </c>
      <c r="I29" s="1">
        <v>49</v>
      </c>
      <c r="J29" s="6">
        <v>68</v>
      </c>
      <c r="K29" s="5">
        <v>0.432</v>
      </c>
      <c r="L29" s="6">
        <v>0.38500000000000001</v>
      </c>
      <c r="M29" s="1">
        <v>86</v>
      </c>
      <c r="N29" s="6">
        <v>87</v>
      </c>
      <c r="O29" s="1" t="s">
        <v>33</v>
      </c>
      <c r="P29" s="1">
        <v>0</v>
      </c>
      <c r="Q29" s="1" t="s">
        <v>23</v>
      </c>
      <c r="R29" s="6">
        <v>1</v>
      </c>
      <c r="S29" s="1">
        <v>9</v>
      </c>
      <c r="T29" s="1">
        <v>1</v>
      </c>
      <c r="U29" s="12">
        <v>0.58699999999999997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29.56</v>
      </c>
      <c r="F30" s="6">
        <v>29.73</v>
      </c>
      <c r="G30" s="1">
        <v>55.7</v>
      </c>
      <c r="H30" s="1">
        <v>53.7</v>
      </c>
      <c r="I30" s="1">
        <v>53.5</v>
      </c>
      <c r="J30" s="6">
        <v>63.2</v>
      </c>
      <c r="K30" s="5">
        <v>0.42599999999999999</v>
      </c>
      <c r="L30" s="6">
        <v>0.39</v>
      </c>
      <c r="M30" s="1">
        <v>96</v>
      </c>
      <c r="N30" s="6">
        <v>94</v>
      </c>
      <c r="O30" s="1" t="s">
        <v>28</v>
      </c>
      <c r="P30" s="1">
        <v>3</v>
      </c>
      <c r="Q30" s="1" t="s">
        <v>27</v>
      </c>
      <c r="R30" s="6">
        <v>1</v>
      </c>
      <c r="S30" s="1">
        <v>10</v>
      </c>
      <c r="T30" s="1">
        <v>10</v>
      </c>
      <c r="U30" s="12">
        <v>0.185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29.99</v>
      </c>
      <c r="F31" s="6">
        <v>30.1</v>
      </c>
      <c r="G31" s="1">
        <v>55.6</v>
      </c>
      <c r="H31" s="1">
        <v>51.2</v>
      </c>
      <c r="I31" s="1">
        <v>51.2</v>
      </c>
      <c r="J31" s="6">
        <v>59</v>
      </c>
      <c r="K31" s="5">
        <v>0.36899999999999999</v>
      </c>
      <c r="L31" s="6">
        <v>0.34</v>
      </c>
      <c r="M31" s="1">
        <v>83</v>
      </c>
      <c r="N31" s="6">
        <v>91</v>
      </c>
      <c r="O31" s="1" t="s">
        <v>29</v>
      </c>
      <c r="P31" s="1">
        <v>2</v>
      </c>
      <c r="Q31" s="1" t="s">
        <v>23</v>
      </c>
      <c r="R31" s="6">
        <v>2</v>
      </c>
      <c r="S31" s="1">
        <v>8</v>
      </c>
      <c r="T31" s="1">
        <v>0</v>
      </c>
      <c r="U31" s="12" t="s">
        <v>22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30.12</v>
      </c>
      <c r="F32" s="6">
        <v>30.1</v>
      </c>
      <c r="G32" s="1">
        <v>55.1</v>
      </c>
      <c r="H32" s="1">
        <v>52.7</v>
      </c>
      <c r="I32" s="1">
        <v>47.4</v>
      </c>
      <c r="J32" s="6">
        <v>57.4</v>
      </c>
      <c r="K32" s="5">
        <v>0.317</v>
      </c>
      <c r="L32" s="6">
        <v>0.28199999999999997</v>
      </c>
      <c r="M32" s="1">
        <v>74</v>
      </c>
      <c r="N32" s="6">
        <v>72</v>
      </c>
      <c r="O32" s="1" t="s">
        <v>39</v>
      </c>
      <c r="P32" s="1">
        <v>2</v>
      </c>
      <c r="Q32" s="1" t="s">
        <v>33</v>
      </c>
      <c r="R32" s="6">
        <v>0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30.05</v>
      </c>
      <c r="F33" s="6">
        <v>30.11</v>
      </c>
      <c r="G33" s="1">
        <v>57.5</v>
      </c>
      <c r="H33" s="1">
        <v>53.4</v>
      </c>
      <c r="I33" s="1">
        <v>51.2</v>
      </c>
      <c r="J33" s="6">
        <v>60.2</v>
      </c>
      <c r="K33" s="5">
        <v>0.38300000000000001</v>
      </c>
      <c r="L33" s="6">
        <v>0.35799999999999998</v>
      </c>
      <c r="M33" s="1">
        <v>81</v>
      </c>
      <c r="N33" s="6">
        <v>88</v>
      </c>
      <c r="O33" s="1" t="s">
        <v>26</v>
      </c>
      <c r="P33" s="1">
        <v>1</v>
      </c>
      <c r="Q33" s="1" t="s">
        <v>43</v>
      </c>
      <c r="R33" s="6">
        <v>3</v>
      </c>
      <c r="S33" s="1">
        <v>5</v>
      </c>
      <c r="T33" s="1">
        <v>4</v>
      </c>
      <c r="U33" s="12" t="s">
        <v>22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30.2</v>
      </c>
      <c r="F34" s="6">
        <v>30.27</v>
      </c>
      <c r="G34" s="1">
        <v>60.2</v>
      </c>
      <c r="H34" s="1">
        <v>53.1</v>
      </c>
      <c r="I34" s="1">
        <v>50</v>
      </c>
      <c r="J34" s="6">
        <v>61</v>
      </c>
      <c r="K34" s="5">
        <v>0.33500000000000002</v>
      </c>
      <c r="L34" s="6">
        <v>0.32600000000000001</v>
      </c>
      <c r="M34" s="1">
        <v>64</v>
      </c>
      <c r="N34" s="6">
        <v>80</v>
      </c>
      <c r="O34" s="1" t="s">
        <v>33</v>
      </c>
      <c r="P34" s="1">
        <v>0</v>
      </c>
      <c r="Q34" s="1" t="s">
        <v>36</v>
      </c>
      <c r="R34" s="6">
        <v>2</v>
      </c>
      <c r="S34" s="1">
        <v>7</v>
      </c>
      <c r="T34" s="1">
        <v>0</v>
      </c>
      <c r="U34" s="12" t="s">
        <v>22</v>
      </c>
    </row>
    <row r="35" spans="1:21" s="1" customFormat="1">
      <c r="A35" s="5" t="s">
        <v>74</v>
      </c>
      <c r="B35" s="1">
        <v>1883</v>
      </c>
      <c r="C35" s="1" t="s">
        <v>20</v>
      </c>
      <c r="D35" s="8">
        <v>31</v>
      </c>
      <c r="E35" s="7">
        <v>30.27</v>
      </c>
      <c r="F35" s="9">
        <v>30.18</v>
      </c>
      <c r="G35" s="8">
        <v>59.3</v>
      </c>
      <c r="H35" s="8">
        <v>53.8</v>
      </c>
      <c r="I35" s="8">
        <v>49.3</v>
      </c>
      <c r="J35" s="9">
        <v>62.2</v>
      </c>
      <c r="K35" s="7">
        <v>0.36699999999999999</v>
      </c>
      <c r="L35" s="9">
        <v>0.31</v>
      </c>
      <c r="M35" s="8">
        <v>73</v>
      </c>
      <c r="N35" s="9">
        <v>75</v>
      </c>
      <c r="O35" s="8" t="s">
        <v>21</v>
      </c>
      <c r="P35" s="8">
        <v>1</v>
      </c>
      <c r="Q35" s="8" t="s">
        <v>42</v>
      </c>
      <c r="R35" s="9">
        <v>2</v>
      </c>
      <c r="S35" s="8">
        <v>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29.974</v>
      </c>
      <c r="F36" s="16">
        <v>29.981999999999999</v>
      </c>
      <c r="G36" s="14">
        <v>54</v>
      </c>
      <c r="H36" s="15">
        <v>50.5</v>
      </c>
      <c r="I36" s="15">
        <v>46.4</v>
      </c>
      <c r="J36" s="16">
        <v>58.7</v>
      </c>
      <c r="K36" s="15">
        <v>0.32200000000000001</v>
      </c>
      <c r="L36" s="15">
        <v>0.30299999999999999</v>
      </c>
      <c r="M36" s="14">
        <v>76.3</v>
      </c>
      <c r="N36" s="16">
        <v>82.1</v>
      </c>
      <c r="O36" s="14" t="s">
        <v>22</v>
      </c>
      <c r="P36" s="15">
        <v>2</v>
      </c>
      <c r="Q36" s="15" t="s">
        <v>22</v>
      </c>
      <c r="R36" s="16">
        <v>1.8</v>
      </c>
      <c r="S36" s="14">
        <v>5.3</v>
      </c>
      <c r="T36" s="16">
        <v>3.9</v>
      </c>
      <c r="U36" s="17">
        <v>2.6349999999999998</v>
      </c>
    </row>
    <row r="37" spans="1:21">
      <c r="F37">
        <f>SUM(F5:F35)/31</f>
        <v>29.982903225806449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D26" workbookViewId="0">
      <selection activeCell="J39" sqref="J39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29.72</v>
      </c>
      <c r="F5" s="6">
        <v>29.82</v>
      </c>
      <c r="G5" s="1">
        <v>48.1</v>
      </c>
      <c r="H5" s="1">
        <v>49.9</v>
      </c>
      <c r="I5" s="1">
        <v>37.1</v>
      </c>
      <c r="J5" s="6">
        <v>53.7</v>
      </c>
      <c r="K5" s="5">
        <v>0.26900000000000002</v>
      </c>
      <c r="L5" s="6">
        <v>0.25700000000000001</v>
      </c>
      <c r="M5" s="1">
        <v>80</v>
      </c>
      <c r="N5" s="6">
        <v>73</v>
      </c>
      <c r="O5" s="1" t="s">
        <v>35</v>
      </c>
      <c r="P5" s="1">
        <v>3</v>
      </c>
      <c r="Q5" s="1" t="s">
        <v>35</v>
      </c>
      <c r="R5" s="6">
        <v>3</v>
      </c>
      <c r="S5" s="1">
        <v>10</v>
      </c>
      <c r="T5" s="1">
        <v>3</v>
      </c>
      <c r="U5" s="12">
        <v>7.0000000000000007E-2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29.93</v>
      </c>
      <c r="F6" s="6">
        <v>29.95</v>
      </c>
      <c r="G6" s="1">
        <v>45.2</v>
      </c>
      <c r="H6" s="1">
        <v>42.9</v>
      </c>
      <c r="I6" s="1">
        <v>39.1</v>
      </c>
      <c r="J6" s="6">
        <v>50.5</v>
      </c>
      <c r="K6" s="5">
        <v>0.222</v>
      </c>
      <c r="L6" s="6">
        <v>0.19900000000000001</v>
      </c>
      <c r="M6" s="1">
        <v>74</v>
      </c>
      <c r="N6" s="6">
        <v>73</v>
      </c>
      <c r="O6" s="1" t="s">
        <v>24</v>
      </c>
      <c r="P6" s="1">
        <v>3</v>
      </c>
      <c r="Q6" s="1" t="s">
        <v>35</v>
      </c>
      <c r="R6" s="6">
        <v>2</v>
      </c>
      <c r="S6" s="1">
        <v>9</v>
      </c>
      <c r="T6" s="1">
        <v>3</v>
      </c>
      <c r="U6" s="12" t="s">
        <v>22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29.9</v>
      </c>
      <c r="F7" s="6">
        <v>29.84</v>
      </c>
      <c r="G7" s="1">
        <v>47.6</v>
      </c>
      <c r="H7" s="1">
        <v>43</v>
      </c>
      <c r="I7" s="1">
        <v>40.4</v>
      </c>
      <c r="J7" s="6">
        <v>54.6</v>
      </c>
      <c r="K7" s="5">
        <v>0.21199999999999999</v>
      </c>
      <c r="L7" s="6">
        <v>0.23799999999999999</v>
      </c>
      <c r="M7" s="1">
        <v>65</v>
      </c>
      <c r="N7" s="6">
        <v>86</v>
      </c>
      <c r="O7" s="1" t="s">
        <v>35</v>
      </c>
      <c r="P7" s="1">
        <v>2</v>
      </c>
      <c r="Q7" s="1" t="s">
        <v>35</v>
      </c>
      <c r="R7" s="6">
        <v>2</v>
      </c>
      <c r="S7" s="1">
        <v>7</v>
      </c>
      <c r="T7" s="1">
        <v>7</v>
      </c>
      <c r="U7" s="12">
        <v>0.16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29.88</v>
      </c>
      <c r="F8" s="6">
        <v>29.89</v>
      </c>
      <c r="G8" s="1">
        <v>42</v>
      </c>
      <c r="H8" s="1">
        <v>41</v>
      </c>
      <c r="I8" s="1">
        <v>37.9</v>
      </c>
      <c r="J8" s="6">
        <v>47.1</v>
      </c>
      <c r="K8" s="5">
        <v>0.17599999999999999</v>
      </c>
      <c r="L8" s="6">
        <v>0.182</v>
      </c>
      <c r="M8" s="1">
        <v>67</v>
      </c>
      <c r="N8" s="6">
        <v>71</v>
      </c>
      <c r="O8" s="1" t="s">
        <v>42</v>
      </c>
      <c r="P8" s="1">
        <v>4</v>
      </c>
      <c r="Q8" s="1" t="s">
        <v>35</v>
      </c>
      <c r="R8" s="6">
        <v>3</v>
      </c>
      <c r="S8" s="1">
        <v>1</v>
      </c>
      <c r="T8" s="1">
        <v>2</v>
      </c>
      <c r="U8" s="12" t="s">
        <v>22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29.89</v>
      </c>
      <c r="F9" s="6">
        <v>29.9</v>
      </c>
      <c r="G9" s="1">
        <v>42.8</v>
      </c>
      <c r="H9" s="1">
        <v>37.6</v>
      </c>
      <c r="I9" s="1">
        <v>35.299999999999997</v>
      </c>
      <c r="J9" s="6">
        <v>44.9</v>
      </c>
      <c r="K9" s="5">
        <v>0.186</v>
      </c>
      <c r="L9" s="6">
        <v>0.19400000000000001</v>
      </c>
      <c r="M9" s="1">
        <v>67</v>
      </c>
      <c r="N9" s="6">
        <v>86</v>
      </c>
      <c r="O9" s="1" t="s">
        <v>35</v>
      </c>
      <c r="P9" s="1">
        <v>3</v>
      </c>
      <c r="Q9" s="1" t="s">
        <v>27</v>
      </c>
      <c r="R9" s="6">
        <v>2</v>
      </c>
      <c r="S9" s="1">
        <v>3</v>
      </c>
      <c r="T9" s="1">
        <v>0</v>
      </c>
      <c r="U9" s="12">
        <v>0.02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29.9</v>
      </c>
      <c r="F10" s="6">
        <v>29.76</v>
      </c>
      <c r="G10" s="1">
        <v>44</v>
      </c>
      <c r="H10" s="1">
        <v>51.8</v>
      </c>
      <c r="I10" s="1">
        <v>36.799999999999997</v>
      </c>
      <c r="J10" s="6">
        <v>58.6</v>
      </c>
      <c r="K10" s="5">
        <v>0.26500000000000001</v>
      </c>
      <c r="L10" s="6">
        <v>0.315</v>
      </c>
      <c r="M10" s="1">
        <v>92</v>
      </c>
      <c r="N10" s="6">
        <v>82</v>
      </c>
      <c r="O10" s="1" t="s">
        <v>35</v>
      </c>
      <c r="P10" s="1">
        <v>3</v>
      </c>
      <c r="Q10" s="1" t="s">
        <v>24</v>
      </c>
      <c r="R10" s="6">
        <v>4</v>
      </c>
      <c r="S10" s="1">
        <v>10</v>
      </c>
      <c r="T10" s="1">
        <v>9</v>
      </c>
      <c r="U10" s="12">
        <v>0.44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29.64</v>
      </c>
      <c r="F11" s="6">
        <v>29.68</v>
      </c>
      <c r="G11" s="1">
        <v>46.9</v>
      </c>
      <c r="H11" s="1">
        <v>42.6</v>
      </c>
      <c r="I11" s="1">
        <v>42.5</v>
      </c>
      <c r="J11" s="6">
        <v>52.6</v>
      </c>
      <c r="K11" s="5">
        <v>0.30599999999999999</v>
      </c>
      <c r="L11" s="6">
        <v>0.26400000000000001</v>
      </c>
      <c r="M11" s="1">
        <v>96</v>
      </c>
      <c r="N11" s="6">
        <v>97</v>
      </c>
      <c r="O11" s="1" t="s">
        <v>39</v>
      </c>
      <c r="P11" s="1">
        <v>2</v>
      </c>
      <c r="Q11" s="1" t="s">
        <v>39</v>
      </c>
      <c r="R11" s="6">
        <v>1</v>
      </c>
      <c r="S11" s="1">
        <v>10</v>
      </c>
      <c r="T11" s="1">
        <v>0</v>
      </c>
      <c r="U11" s="12" t="s">
        <v>22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29.6</v>
      </c>
      <c r="F12" s="6">
        <v>29.54</v>
      </c>
      <c r="G12" s="1">
        <v>47.9</v>
      </c>
      <c r="H12" s="1">
        <v>42.9</v>
      </c>
      <c r="I12" s="1">
        <v>41</v>
      </c>
      <c r="J12" s="6">
        <v>53.8</v>
      </c>
      <c r="K12" s="5">
        <v>0.28899999999999998</v>
      </c>
      <c r="L12" s="6">
        <v>0.26100000000000001</v>
      </c>
      <c r="M12" s="1">
        <v>88</v>
      </c>
      <c r="N12" s="6">
        <v>95</v>
      </c>
      <c r="O12" s="1" t="s">
        <v>42</v>
      </c>
      <c r="P12" s="1">
        <v>1</v>
      </c>
      <c r="Q12" s="1" t="s">
        <v>25</v>
      </c>
      <c r="R12" s="6">
        <v>2</v>
      </c>
      <c r="S12" s="1">
        <v>9</v>
      </c>
      <c r="T12" s="1">
        <v>1</v>
      </c>
      <c r="U12" s="12">
        <v>0.04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29.51</v>
      </c>
      <c r="F13" s="6">
        <v>29.55</v>
      </c>
      <c r="G13" s="1">
        <v>44.6</v>
      </c>
      <c r="H13" s="1">
        <v>43.3</v>
      </c>
      <c r="I13" s="1">
        <v>36.700000000000003</v>
      </c>
      <c r="J13" s="6">
        <v>49.7</v>
      </c>
      <c r="K13" s="5">
        <v>0.26900000000000002</v>
      </c>
      <c r="L13" s="6">
        <v>0.23300000000000001</v>
      </c>
      <c r="M13" s="1">
        <v>92</v>
      </c>
      <c r="N13" s="6">
        <v>83</v>
      </c>
      <c r="O13" s="1" t="s">
        <v>42</v>
      </c>
      <c r="P13" s="1">
        <v>1</v>
      </c>
      <c r="Q13" s="1" t="s">
        <v>24</v>
      </c>
      <c r="R13" s="6">
        <v>4</v>
      </c>
      <c r="S13" s="1">
        <v>10</v>
      </c>
      <c r="T13" s="1">
        <v>10</v>
      </c>
      <c r="U13" s="12">
        <v>0.66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29.69</v>
      </c>
      <c r="F14" s="6">
        <v>29.86</v>
      </c>
      <c r="G14" s="1">
        <v>41.3</v>
      </c>
      <c r="H14" s="1">
        <v>39.700000000000003</v>
      </c>
      <c r="I14" s="1">
        <v>36.200000000000003</v>
      </c>
      <c r="J14" s="6">
        <v>49.9</v>
      </c>
      <c r="K14" s="5">
        <v>0.20899999999999999</v>
      </c>
      <c r="L14" s="6">
        <v>0.193</v>
      </c>
      <c r="M14" s="1">
        <v>81</v>
      </c>
      <c r="N14" s="6">
        <v>79</v>
      </c>
      <c r="O14" s="1" t="s">
        <v>28</v>
      </c>
      <c r="P14" s="1">
        <v>3</v>
      </c>
      <c r="Q14" s="1" t="s">
        <v>26</v>
      </c>
      <c r="R14" s="6">
        <v>2</v>
      </c>
      <c r="S14" s="1">
        <v>9</v>
      </c>
      <c r="T14" s="1">
        <v>3</v>
      </c>
      <c r="U14" s="12">
        <v>0.02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29.96</v>
      </c>
      <c r="F15" s="6">
        <v>29.88</v>
      </c>
      <c r="G15" s="1">
        <v>48.8</v>
      </c>
      <c r="H15" s="1">
        <v>47.9</v>
      </c>
      <c r="I15" s="1">
        <v>34.6</v>
      </c>
      <c r="J15" s="6">
        <v>49.9</v>
      </c>
      <c r="K15" s="5">
        <v>0.23799999999999999</v>
      </c>
      <c r="L15" s="6">
        <v>0.316</v>
      </c>
      <c r="M15" s="1">
        <v>69</v>
      </c>
      <c r="N15" s="6">
        <v>95</v>
      </c>
      <c r="O15" s="1" t="s">
        <v>26</v>
      </c>
      <c r="P15" s="1">
        <v>4</v>
      </c>
      <c r="Q15" s="1" t="s">
        <v>25</v>
      </c>
      <c r="R15" s="6">
        <v>5</v>
      </c>
      <c r="S15" s="1">
        <v>9</v>
      </c>
      <c r="T15" s="1">
        <v>10</v>
      </c>
      <c r="U15" s="12">
        <v>0.56000000000000005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29.81</v>
      </c>
      <c r="F16" s="6">
        <v>29.93</v>
      </c>
      <c r="G16" s="1">
        <v>52.2</v>
      </c>
      <c r="H16" s="1">
        <v>50.8</v>
      </c>
      <c r="I16" s="1">
        <v>47.4</v>
      </c>
      <c r="J16" s="6">
        <v>54.7</v>
      </c>
      <c r="K16" s="5">
        <v>0.38500000000000001</v>
      </c>
      <c r="L16" s="6">
        <v>0.35299999999999998</v>
      </c>
      <c r="M16" s="1">
        <v>99</v>
      </c>
      <c r="N16" s="6">
        <v>95</v>
      </c>
      <c r="O16" s="1" t="s">
        <v>25</v>
      </c>
      <c r="P16" s="1">
        <v>7</v>
      </c>
      <c r="Q16" s="1" t="s">
        <v>25</v>
      </c>
      <c r="R16" s="6">
        <v>7</v>
      </c>
      <c r="S16" s="1">
        <v>10</v>
      </c>
      <c r="T16" s="1">
        <v>10</v>
      </c>
      <c r="U16" s="12">
        <v>0.03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29.9</v>
      </c>
      <c r="F17" s="6">
        <v>29.89</v>
      </c>
      <c r="G17" s="1">
        <v>56.6</v>
      </c>
      <c r="H17" s="1">
        <v>51.2</v>
      </c>
      <c r="I17" s="1">
        <v>50</v>
      </c>
      <c r="J17" s="6">
        <v>57.6</v>
      </c>
      <c r="K17" s="5">
        <v>0.33800000000000002</v>
      </c>
      <c r="L17" s="6">
        <v>0.36599999999999999</v>
      </c>
      <c r="M17" s="1">
        <v>73</v>
      </c>
      <c r="N17" s="6">
        <v>98</v>
      </c>
      <c r="O17" s="1" t="s">
        <v>25</v>
      </c>
      <c r="P17" s="1">
        <v>6</v>
      </c>
      <c r="Q17" s="1" t="s">
        <v>25</v>
      </c>
      <c r="R17" s="6">
        <v>3</v>
      </c>
      <c r="S17" s="1">
        <v>7</v>
      </c>
      <c r="T17" s="1">
        <v>10</v>
      </c>
      <c r="U17" s="12">
        <v>0.05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29.89</v>
      </c>
      <c r="F18" s="6">
        <v>29.98</v>
      </c>
      <c r="G18" s="1">
        <v>52.8</v>
      </c>
      <c r="H18" s="1">
        <v>48.9</v>
      </c>
      <c r="I18" s="1">
        <v>48.9</v>
      </c>
      <c r="J18" s="6">
        <v>59.5</v>
      </c>
      <c r="K18" s="5">
        <v>0.379</v>
      </c>
      <c r="L18" s="6">
        <v>0.33100000000000002</v>
      </c>
      <c r="M18" s="1">
        <v>95</v>
      </c>
      <c r="N18" s="6">
        <v>96</v>
      </c>
      <c r="O18" s="1" t="s">
        <v>29</v>
      </c>
      <c r="P18" s="1">
        <v>2</v>
      </c>
      <c r="Q18" s="1" t="s">
        <v>25</v>
      </c>
      <c r="R18" s="6">
        <v>2</v>
      </c>
      <c r="S18" s="1">
        <v>10</v>
      </c>
      <c r="T18" s="1">
        <v>3</v>
      </c>
      <c r="U18" s="12" t="s">
        <v>22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30.11</v>
      </c>
      <c r="F19" s="6">
        <v>30.2</v>
      </c>
      <c r="G19" s="1">
        <v>49.8</v>
      </c>
      <c r="H19" s="1">
        <v>56.1</v>
      </c>
      <c r="I19" s="1">
        <v>48</v>
      </c>
      <c r="J19" s="6">
        <v>57.2</v>
      </c>
      <c r="K19" s="5">
        <v>0.34499999999999997</v>
      </c>
      <c r="L19" s="6">
        <v>0.311</v>
      </c>
      <c r="M19" s="1">
        <v>96</v>
      </c>
      <c r="N19" s="6">
        <v>70</v>
      </c>
      <c r="O19" s="1" t="s">
        <v>42</v>
      </c>
      <c r="P19" s="1">
        <v>1</v>
      </c>
      <c r="Q19" s="1" t="s">
        <v>35</v>
      </c>
      <c r="R19" s="6">
        <v>3</v>
      </c>
      <c r="S19" s="1">
        <v>10</v>
      </c>
      <c r="T19" s="1">
        <v>8</v>
      </c>
      <c r="U19" s="12">
        <v>0.02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30.3</v>
      </c>
      <c r="F20" s="6">
        <v>30.33</v>
      </c>
      <c r="G20" s="1">
        <v>61.2</v>
      </c>
      <c r="H20" s="1">
        <v>56</v>
      </c>
      <c r="I20" s="1">
        <v>53</v>
      </c>
      <c r="J20" s="6">
        <v>65.900000000000006</v>
      </c>
      <c r="K20" s="5">
        <v>0.379</v>
      </c>
      <c r="L20" s="6">
        <v>0.36899999999999999</v>
      </c>
      <c r="M20" s="1">
        <v>72</v>
      </c>
      <c r="N20" s="6">
        <v>82</v>
      </c>
      <c r="O20" s="1" t="s">
        <v>24</v>
      </c>
      <c r="P20" s="1">
        <v>2</v>
      </c>
      <c r="Q20" s="1" t="s">
        <v>24</v>
      </c>
      <c r="R20" s="6">
        <v>1</v>
      </c>
      <c r="S20" s="1">
        <v>7</v>
      </c>
      <c r="T20" s="1">
        <v>3</v>
      </c>
      <c r="U20" s="12" t="s">
        <v>22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30.4</v>
      </c>
      <c r="F21" s="6">
        <v>30.35</v>
      </c>
      <c r="G21" s="1">
        <v>56.3</v>
      </c>
      <c r="H21" s="1">
        <v>52</v>
      </c>
      <c r="I21" s="1">
        <v>51.7</v>
      </c>
      <c r="J21" s="6">
        <v>60.6</v>
      </c>
      <c r="K21" s="5">
        <v>0.313</v>
      </c>
      <c r="L21" s="6">
        <v>0.27800000000000002</v>
      </c>
      <c r="M21" s="1">
        <v>70</v>
      </c>
      <c r="N21" s="6">
        <v>72</v>
      </c>
      <c r="O21" s="1" t="s">
        <v>42</v>
      </c>
      <c r="P21" s="1">
        <v>2</v>
      </c>
      <c r="Q21" s="1" t="s">
        <v>33</v>
      </c>
      <c r="R21" s="6">
        <v>0</v>
      </c>
      <c r="S21" s="1">
        <v>8</v>
      </c>
      <c r="T21" s="1">
        <v>1</v>
      </c>
      <c r="U21" s="12" t="s">
        <v>22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30.32</v>
      </c>
      <c r="F22" s="6">
        <v>30.24</v>
      </c>
      <c r="G22" s="1">
        <v>60.2</v>
      </c>
      <c r="H22" s="1">
        <v>49.2</v>
      </c>
      <c r="I22" s="1">
        <v>48</v>
      </c>
      <c r="J22" s="6">
        <v>66.7</v>
      </c>
      <c r="K22" s="5">
        <v>0.32100000000000001</v>
      </c>
      <c r="L22" s="6">
        <v>0.252</v>
      </c>
      <c r="M22" s="1">
        <v>61</v>
      </c>
      <c r="N22" s="6">
        <v>72</v>
      </c>
      <c r="O22" s="1" t="s">
        <v>24</v>
      </c>
      <c r="P22" s="1">
        <v>1</v>
      </c>
      <c r="Q22" s="1" t="s">
        <v>36</v>
      </c>
      <c r="R22" s="6">
        <v>3</v>
      </c>
      <c r="S22" s="1">
        <v>3</v>
      </c>
      <c r="T22" s="1">
        <v>4</v>
      </c>
      <c r="U22" s="12" t="s">
        <v>22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30.14</v>
      </c>
      <c r="F23" s="6">
        <v>30.1</v>
      </c>
      <c r="G23" s="1">
        <v>56.1</v>
      </c>
      <c r="H23" s="1">
        <v>51</v>
      </c>
      <c r="I23" s="1">
        <v>45.8</v>
      </c>
      <c r="J23" s="6">
        <v>65</v>
      </c>
      <c r="K23" s="5">
        <v>0.316</v>
      </c>
      <c r="L23" s="6">
        <v>0.30499999999999999</v>
      </c>
      <c r="M23" s="1">
        <v>71</v>
      </c>
      <c r="N23" s="6">
        <v>82</v>
      </c>
      <c r="O23" s="1" t="s">
        <v>34</v>
      </c>
      <c r="P23" s="1">
        <v>2</v>
      </c>
      <c r="Q23" s="1" t="s">
        <v>27</v>
      </c>
      <c r="R23" s="6">
        <v>2</v>
      </c>
      <c r="S23" s="1">
        <v>8</v>
      </c>
      <c r="T23" s="1">
        <v>8</v>
      </c>
      <c r="U23" s="12" t="s">
        <v>22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30.08</v>
      </c>
      <c r="F24" s="6">
        <v>30.11</v>
      </c>
      <c r="G24" s="1">
        <v>57</v>
      </c>
      <c r="H24" s="1">
        <v>54.7</v>
      </c>
      <c r="I24" s="1">
        <v>48</v>
      </c>
      <c r="J24" s="6">
        <v>59.3</v>
      </c>
      <c r="K24" s="5">
        <v>0.34</v>
      </c>
      <c r="L24" s="6">
        <v>0.35599999999999998</v>
      </c>
      <c r="M24" s="1">
        <v>73</v>
      </c>
      <c r="N24" s="6">
        <v>84</v>
      </c>
      <c r="O24" s="1" t="s">
        <v>36</v>
      </c>
      <c r="P24" s="1">
        <v>2</v>
      </c>
      <c r="Q24" s="1" t="s">
        <v>33</v>
      </c>
      <c r="R24" s="6">
        <v>0</v>
      </c>
      <c r="S24" s="1">
        <v>9</v>
      </c>
      <c r="T24" s="1">
        <v>10</v>
      </c>
      <c r="U24" s="12" t="s">
        <v>22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30.18</v>
      </c>
      <c r="F25" s="6">
        <v>30.19</v>
      </c>
      <c r="G25" s="1">
        <v>52.8</v>
      </c>
      <c r="H25" s="1">
        <v>48.8</v>
      </c>
      <c r="I25" s="1">
        <v>48.8</v>
      </c>
      <c r="J25" s="6">
        <v>56.5</v>
      </c>
      <c r="K25" s="5">
        <v>0.36899999999999999</v>
      </c>
      <c r="L25" s="6">
        <v>0.32200000000000001</v>
      </c>
      <c r="M25" s="1">
        <v>92</v>
      </c>
      <c r="N25" s="6">
        <v>93</v>
      </c>
      <c r="O25" s="1" t="s">
        <v>42</v>
      </c>
      <c r="P25" s="1">
        <v>2</v>
      </c>
      <c r="Q25" s="1" t="s">
        <v>42</v>
      </c>
      <c r="R25" s="6">
        <v>2</v>
      </c>
      <c r="S25" s="1">
        <v>10</v>
      </c>
      <c r="T25" s="1">
        <v>2</v>
      </c>
      <c r="U25" s="12" t="s">
        <v>22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30.2</v>
      </c>
      <c r="F26" s="6">
        <v>30.19</v>
      </c>
      <c r="G26" s="1">
        <v>57.7</v>
      </c>
      <c r="H26" s="1">
        <v>56.8</v>
      </c>
      <c r="I26" s="1">
        <v>45</v>
      </c>
      <c r="J26" s="6">
        <v>63.9</v>
      </c>
      <c r="K26" s="5">
        <v>0.32500000000000001</v>
      </c>
      <c r="L26" s="6">
        <v>0.35499999999999998</v>
      </c>
      <c r="M26" s="1">
        <v>68</v>
      </c>
      <c r="N26" s="6">
        <v>76</v>
      </c>
      <c r="O26" s="1" t="s">
        <v>42</v>
      </c>
      <c r="P26" s="1">
        <v>1</v>
      </c>
      <c r="Q26" s="1" t="s">
        <v>36</v>
      </c>
      <c r="R26" s="6">
        <v>2</v>
      </c>
      <c r="S26" s="1">
        <v>3</v>
      </c>
      <c r="T26" s="1">
        <v>4</v>
      </c>
      <c r="U26" s="12" t="s">
        <v>22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30.2</v>
      </c>
      <c r="F27" s="6">
        <v>30.19</v>
      </c>
      <c r="G27" s="1">
        <v>64.7</v>
      </c>
      <c r="H27" s="1">
        <v>54.9</v>
      </c>
      <c r="I27" s="1">
        <v>48.1</v>
      </c>
      <c r="J27" s="6">
        <v>72.8</v>
      </c>
      <c r="K27" s="5">
        <v>0.32800000000000001</v>
      </c>
      <c r="L27" s="6">
        <v>0.33300000000000002</v>
      </c>
      <c r="M27" s="1">
        <v>53</v>
      </c>
      <c r="N27" s="6">
        <v>78</v>
      </c>
      <c r="O27" s="1" t="s">
        <v>39</v>
      </c>
      <c r="P27" s="1">
        <v>2</v>
      </c>
      <c r="Q27" s="1" t="s">
        <v>36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30.16</v>
      </c>
      <c r="F28" s="6">
        <v>30.09</v>
      </c>
      <c r="G28" s="1">
        <v>60.9</v>
      </c>
      <c r="H28" s="1">
        <v>52</v>
      </c>
      <c r="I28" s="1">
        <v>44.1</v>
      </c>
      <c r="J28" s="6">
        <v>65.5</v>
      </c>
      <c r="K28" s="5">
        <v>0.35699999999999998</v>
      </c>
      <c r="L28" s="6">
        <v>0.35799999999999998</v>
      </c>
      <c r="M28" s="1">
        <v>67</v>
      </c>
      <c r="N28" s="6">
        <v>92</v>
      </c>
      <c r="O28" s="1" t="s">
        <v>27</v>
      </c>
      <c r="P28" s="1">
        <v>1</v>
      </c>
      <c r="Q28" s="1" t="s">
        <v>36</v>
      </c>
      <c r="R28" s="6">
        <v>1</v>
      </c>
      <c r="S28" s="1">
        <v>2</v>
      </c>
      <c r="T28" s="1">
        <v>3</v>
      </c>
      <c r="U28" s="12" t="s">
        <v>22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29.95</v>
      </c>
      <c r="F29" s="6">
        <v>29.73</v>
      </c>
      <c r="G29" s="1">
        <v>53.9</v>
      </c>
      <c r="H29" s="1">
        <v>54.8</v>
      </c>
      <c r="I29" s="1">
        <v>45.2</v>
      </c>
      <c r="J29" s="6">
        <v>62.7</v>
      </c>
      <c r="K29" s="5">
        <v>0.34300000000000003</v>
      </c>
      <c r="L29" s="6">
        <v>0.38100000000000001</v>
      </c>
      <c r="M29" s="1">
        <v>82</v>
      </c>
      <c r="N29" s="6">
        <v>89</v>
      </c>
      <c r="O29" s="1" t="s">
        <v>42</v>
      </c>
      <c r="P29" s="1">
        <v>1</v>
      </c>
      <c r="Q29" s="1" t="s">
        <v>35</v>
      </c>
      <c r="R29" s="6">
        <v>1</v>
      </c>
      <c r="S29" s="1">
        <v>10</v>
      </c>
      <c r="T29" s="1">
        <v>9</v>
      </c>
      <c r="U29" s="12">
        <v>0.2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29.66</v>
      </c>
      <c r="F30" s="6">
        <v>29.85</v>
      </c>
      <c r="G30" s="1">
        <v>52.8</v>
      </c>
      <c r="H30" s="1">
        <v>47.9</v>
      </c>
      <c r="I30" s="1">
        <v>47.9</v>
      </c>
      <c r="J30" s="6">
        <v>60.9</v>
      </c>
      <c r="K30" s="5">
        <v>0.33300000000000002</v>
      </c>
      <c r="L30" s="6">
        <v>0.22900000000000001</v>
      </c>
      <c r="M30" s="1">
        <v>83</v>
      </c>
      <c r="N30" s="6">
        <v>69</v>
      </c>
      <c r="O30" s="1" t="s">
        <v>34</v>
      </c>
      <c r="P30" s="1">
        <v>3</v>
      </c>
      <c r="Q30" s="1" t="s">
        <v>34</v>
      </c>
      <c r="R30" s="6">
        <v>3</v>
      </c>
      <c r="S30" s="1">
        <v>10</v>
      </c>
      <c r="T30" s="1">
        <v>3</v>
      </c>
      <c r="U30" s="12" t="s">
        <v>22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30.02</v>
      </c>
      <c r="F31" s="6">
        <v>30.07</v>
      </c>
      <c r="G31" s="1">
        <v>56.2</v>
      </c>
      <c r="H31" s="1">
        <v>48.8</v>
      </c>
      <c r="I31" s="1">
        <v>45.8</v>
      </c>
      <c r="J31" s="6">
        <v>62.3</v>
      </c>
      <c r="K31" s="5">
        <v>0.26700000000000002</v>
      </c>
      <c r="L31" s="6">
        <v>0.28100000000000003</v>
      </c>
      <c r="M31" s="1">
        <v>59</v>
      </c>
      <c r="N31" s="6">
        <v>81</v>
      </c>
      <c r="O31" s="1" t="s">
        <v>24</v>
      </c>
      <c r="P31" s="1">
        <v>1</v>
      </c>
      <c r="Q31" s="1" t="s">
        <v>26</v>
      </c>
      <c r="R31" s="6">
        <v>3</v>
      </c>
      <c r="S31" s="1">
        <v>2</v>
      </c>
      <c r="T31" s="1">
        <v>3</v>
      </c>
      <c r="U31" s="12" t="s">
        <v>22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30.06</v>
      </c>
      <c r="F32" s="6">
        <v>30.04</v>
      </c>
      <c r="G32" s="1">
        <v>57.1</v>
      </c>
      <c r="H32" s="1">
        <v>53.9</v>
      </c>
      <c r="I32" s="1">
        <v>45.7</v>
      </c>
      <c r="J32" s="6">
        <v>61</v>
      </c>
      <c r="K32" s="5">
        <v>0.33600000000000002</v>
      </c>
      <c r="L32" s="6">
        <v>0.38600000000000001</v>
      </c>
      <c r="M32" s="1">
        <v>72</v>
      </c>
      <c r="N32" s="6">
        <v>93</v>
      </c>
      <c r="O32" s="1" t="s">
        <v>25</v>
      </c>
      <c r="P32" s="1">
        <v>4</v>
      </c>
      <c r="Q32" s="1" t="s">
        <v>39</v>
      </c>
      <c r="R32" s="6">
        <v>4</v>
      </c>
      <c r="S32" s="1">
        <v>7</v>
      </c>
      <c r="T32" s="1">
        <v>10</v>
      </c>
      <c r="U32" s="12">
        <v>0.03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30.01</v>
      </c>
      <c r="F33" s="6">
        <v>30.16</v>
      </c>
      <c r="G33" s="1">
        <v>58.7</v>
      </c>
      <c r="H33" s="1">
        <v>49.8</v>
      </c>
      <c r="I33" s="1">
        <v>49.8</v>
      </c>
      <c r="J33" s="6">
        <v>65.400000000000006</v>
      </c>
      <c r="K33" s="5">
        <v>0.4</v>
      </c>
      <c r="L33" s="6">
        <v>0.27700000000000002</v>
      </c>
      <c r="M33" s="1">
        <v>82</v>
      </c>
      <c r="N33" s="6">
        <v>78</v>
      </c>
      <c r="O33" s="1" t="s">
        <v>26</v>
      </c>
      <c r="P33" s="1">
        <v>3</v>
      </c>
      <c r="Q33" s="1" t="s">
        <v>36</v>
      </c>
      <c r="R33" s="6">
        <v>1</v>
      </c>
      <c r="S33" s="1">
        <v>10</v>
      </c>
      <c r="T33" s="1">
        <v>8</v>
      </c>
      <c r="U33" s="12" t="s">
        <v>22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30.23</v>
      </c>
      <c r="F34" s="6">
        <v>30.27</v>
      </c>
      <c r="G34" s="1">
        <v>55.9</v>
      </c>
      <c r="H34" s="1">
        <v>49.8</v>
      </c>
      <c r="I34" s="1">
        <v>41</v>
      </c>
      <c r="J34" s="6">
        <v>64.7</v>
      </c>
      <c r="K34" s="5">
        <v>0.29899999999999999</v>
      </c>
      <c r="L34" s="6">
        <v>0.312</v>
      </c>
      <c r="M34" s="1">
        <v>68</v>
      </c>
      <c r="N34" s="6">
        <v>87</v>
      </c>
      <c r="O34" s="1" t="s">
        <v>37</v>
      </c>
      <c r="P34" s="1">
        <v>2</v>
      </c>
      <c r="Q34" s="1" t="s">
        <v>43</v>
      </c>
      <c r="R34" s="6">
        <v>3</v>
      </c>
      <c r="S34" s="1">
        <v>7</v>
      </c>
      <c r="T34" s="1">
        <v>2</v>
      </c>
      <c r="U34" s="12" t="s">
        <v>22</v>
      </c>
    </row>
    <row r="35" spans="1:21" s="1" customFormat="1">
      <c r="A35" s="5" t="s">
        <v>75</v>
      </c>
      <c r="B35" s="1">
        <v>1883</v>
      </c>
      <c r="C35" s="1" t="s">
        <v>20</v>
      </c>
      <c r="D35" s="8">
        <v>31</v>
      </c>
      <c r="E35" s="7">
        <v>30.23</v>
      </c>
      <c r="F35" s="9">
        <v>30.14</v>
      </c>
      <c r="G35" s="8">
        <v>59</v>
      </c>
      <c r="H35" s="8">
        <v>51.9</v>
      </c>
      <c r="I35" s="8">
        <v>45.3</v>
      </c>
      <c r="J35" s="9">
        <v>63.1</v>
      </c>
      <c r="K35" s="7">
        <v>0.379</v>
      </c>
      <c r="L35" s="9">
        <v>0.318</v>
      </c>
      <c r="M35" s="8">
        <v>76</v>
      </c>
      <c r="N35" s="9">
        <v>83</v>
      </c>
      <c r="O35" s="8" t="s">
        <v>29</v>
      </c>
      <c r="P35" s="8">
        <v>3</v>
      </c>
      <c r="Q35" s="8" t="s">
        <v>39</v>
      </c>
      <c r="R35" s="9">
        <v>2</v>
      </c>
      <c r="S35" s="8">
        <v>9</v>
      </c>
      <c r="T35" s="8">
        <v>7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29.983000000000001</v>
      </c>
      <c r="F36" s="16">
        <v>29.99</v>
      </c>
      <c r="G36" s="14">
        <v>52.6</v>
      </c>
      <c r="H36" s="15">
        <v>49.1</v>
      </c>
      <c r="I36" s="15">
        <v>44</v>
      </c>
      <c r="J36" s="16">
        <v>58.4</v>
      </c>
      <c r="K36" s="15">
        <v>0.30599999999999999</v>
      </c>
      <c r="L36" s="15">
        <v>0.29399999999999998</v>
      </c>
      <c r="M36" s="14">
        <v>76.900000000000006</v>
      </c>
      <c r="N36" s="16">
        <v>83.5</v>
      </c>
      <c r="O36" s="14" t="s">
        <v>22</v>
      </c>
      <c r="P36" s="15">
        <v>2.5</v>
      </c>
      <c r="Q36" s="15" t="s">
        <v>22</v>
      </c>
      <c r="R36" s="16">
        <v>2.4</v>
      </c>
      <c r="S36" s="14">
        <v>7.4</v>
      </c>
      <c r="T36" s="16">
        <v>5</v>
      </c>
      <c r="U36" s="17">
        <v>2.2999999999999998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7"/>
  <sheetViews>
    <sheetView topLeftCell="E18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29.7</v>
      </c>
      <c r="F5" s="6">
        <v>29.77</v>
      </c>
      <c r="G5" s="1">
        <v>53.5</v>
      </c>
      <c r="H5" s="1">
        <v>51.3</v>
      </c>
      <c r="I5" s="1">
        <v>44</v>
      </c>
      <c r="J5" s="6">
        <v>54.8</v>
      </c>
      <c r="K5" s="5">
        <v>0.29799999999999999</v>
      </c>
      <c r="L5" s="6">
        <v>0.24299999999999999</v>
      </c>
      <c r="M5" s="1">
        <v>72</v>
      </c>
      <c r="N5" s="6">
        <v>65</v>
      </c>
      <c r="O5" s="1" t="s">
        <v>24</v>
      </c>
      <c r="P5" s="1">
        <v>1</v>
      </c>
      <c r="Q5" s="1" t="s">
        <v>42</v>
      </c>
      <c r="R5" s="6">
        <v>3</v>
      </c>
      <c r="S5" s="1">
        <v>7</v>
      </c>
      <c r="T5" s="1">
        <v>8</v>
      </c>
      <c r="U5" s="12" t="s">
        <v>22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29.87</v>
      </c>
      <c r="F6" s="6">
        <v>29.93</v>
      </c>
      <c r="G6" s="1">
        <v>47.7</v>
      </c>
      <c r="H6" s="1">
        <v>43.3</v>
      </c>
      <c r="I6" s="1">
        <v>43.3</v>
      </c>
      <c r="J6" s="6">
        <v>53</v>
      </c>
      <c r="K6" s="5">
        <v>0.246</v>
      </c>
      <c r="L6" s="6">
        <v>0.214</v>
      </c>
      <c r="M6" s="1">
        <v>75</v>
      </c>
      <c r="N6" s="6">
        <v>77</v>
      </c>
      <c r="O6" s="1" t="s">
        <v>24</v>
      </c>
      <c r="P6" s="1">
        <v>4</v>
      </c>
      <c r="Q6" s="1" t="s">
        <v>24</v>
      </c>
      <c r="R6" s="6">
        <v>1</v>
      </c>
      <c r="S6" s="1">
        <v>8</v>
      </c>
      <c r="T6" s="1">
        <v>0</v>
      </c>
      <c r="U6" s="12" t="s">
        <v>22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29.9</v>
      </c>
      <c r="F7" s="6">
        <v>29.86</v>
      </c>
      <c r="G7" s="1">
        <v>43</v>
      </c>
      <c r="H7" s="1">
        <v>42.7</v>
      </c>
      <c r="I7" s="1">
        <v>41.8</v>
      </c>
      <c r="J7" s="6">
        <v>48.6</v>
      </c>
      <c r="K7" s="5">
        <v>0.215</v>
      </c>
      <c r="L7" s="6">
        <v>0.2</v>
      </c>
      <c r="M7" s="1">
        <v>78</v>
      </c>
      <c r="N7" s="6">
        <v>73</v>
      </c>
      <c r="O7" s="1" t="s">
        <v>24</v>
      </c>
      <c r="P7" s="1">
        <v>3</v>
      </c>
      <c r="Q7" s="1" t="s">
        <v>28</v>
      </c>
      <c r="R7" s="6">
        <v>1</v>
      </c>
      <c r="S7" s="1">
        <v>10</v>
      </c>
      <c r="T7" s="1">
        <v>0</v>
      </c>
      <c r="U7" s="12" t="s">
        <v>22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29.84</v>
      </c>
      <c r="F8" s="6">
        <v>29.86</v>
      </c>
      <c r="G8" s="1">
        <v>43.8</v>
      </c>
      <c r="H8" s="1">
        <v>42</v>
      </c>
      <c r="I8" s="1">
        <v>39</v>
      </c>
      <c r="J8" s="6">
        <v>48</v>
      </c>
      <c r="K8" s="5">
        <v>0.23</v>
      </c>
      <c r="L8" s="6">
        <v>0.184</v>
      </c>
      <c r="M8" s="1">
        <v>80</v>
      </c>
      <c r="N8" s="6">
        <v>70</v>
      </c>
      <c r="O8" s="1" t="s">
        <v>24</v>
      </c>
      <c r="P8" s="1">
        <v>2</v>
      </c>
      <c r="Q8" s="1" t="s">
        <v>24</v>
      </c>
      <c r="R8" s="6">
        <v>2</v>
      </c>
      <c r="S8" s="1">
        <v>10</v>
      </c>
      <c r="T8" s="1">
        <v>2</v>
      </c>
      <c r="U8" s="12" t="s">
        <v>22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29.85</v>
      </c>
      <c r="F9" s="6">
        <v>29.89</v>
      </c>
      <c r="G9" s="1">
        <v>49</v>
      </c>
      <c r="H9" s="1">
        <v>40.5</v>
      </c>
      <c r="I9" s="1">
        <v>39.5</v>
      </c>
      <c r="J9" s="6">
        <v>50.6</v>
      </c>
      <c r="K9" s="5">
        <v>0.217</v>
      </c>
      <c r="L9" s="6">
        <v>0.2</v>
      </c>
      <c r="M9" s="1">
        <v>62</v>
      </c>
      <c r="N9" s="6">
        <v>80</v>
      </c>
      <c r="O9" s="1" t="s">
        <v>24</v>
      </c>
      <c r="P9" s="1">
        <v>2</v>
      </c>
      <c r="Q9" s="1" t="s">
        <v>24</v>
      </c>
      <c r="R9" s="6">
        <v>1</v>
      </c>
      <c r="S9" s="1">
        <v>5</v>
      </c>
      <c r="T9" s="1">
        <v>0</v>
      </c>
      <c r="U9" s="12">
        <v>2E-3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29.87</v>
      </c>
      <c r="F10" s="6">
        <v>29.75</v>
      </c>
      <c r="G10" s="1">
        <v>47.3</v>
      </c>
      <c r="H10" s="1">
        <v>50.3</v>
      </c>
      <c r="I10" s="1">
        <v>39.700000000000003</v>
      </c>
      <c r="J10" s="6">
        <v>53.7</v>
      </c>
      <c r="K10" s="5">
        <v>0.28899999999999998</v>
      </c>
      <c r="L10" s="6">
        <v>0.35499999999999998</v>
      </c>
      <c r="M10" s="1">
        <v>90</v>
      </c>
      <c r="N10" s="6">
        <v>97</v>
      </c>
      <c r="O10" s="1" t="s">
        <v>24</v>
      </c>
      <c r="P10" s="1">
        <v>2</v>
      </c>
      <c r="Q10" s="1" t="s">
        <v>33</v>
      </c>
      <c r="R10" s="6">
        <v>0</v>
      </c>
      <c r="S10" s="1">
        <v>10</v>
      </c>
      <c r="T10" s="1">
        <v>10</v>
      </c>
      <c r="U10" s="12">
        <v>0.27500000000000002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29.73</v>
      </c>
      <c r="F11" s="6">
        <v>29.7</v>
      </c>
      <c r="G11" s="1">
        <v>50.7</v>
      </c>
      <c r="H11" s="1">
        <v>50.2</v>
      </c>
      <c r="I11" s="1">
        <v>45</v>
      </c>
      <c r="J11" s="6">
        <v>56.2</v>
      </c>
      <c r="K11" s="5">
        <v>0.29299999999999998</v>
      </c>
      <c r="L11" s="6">
        <v>0.28599999999999998</v>
      </c>
      <c r="M11" s="1">
        <v>80</v>
      </c>
      <c r="N11" s="6">
        <v>80</v>
      </c>
      <c r="O11" s="1" t="s">
        <v>21</v>
      </c>
      <c r="P11" s="1">
        <v>2</v>
      </c>
      <c r="Q11" s="1" t="s">
        <v>21</v>
      </c>
      <c r="R11" s="6">
        <v>2</v>
      </c>
      <c r="S11" s="1">
        <v>4</v>
      </c>
      <c r="T11" s="1">
        <v>9</v>
      </c>
      <c r="U11" s="12">
        <v>0.185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29.62</v>
      </c>
      <c r="F12" s="6">
        <v>29.59</v>
      </c>
      <c r="G12" s="1">
        <v>47.1</v>
      </c>
      <c r="H12" s="1">
        <v>43.2</v>
      </c>
      <c r="I12" s="1">
        <v>42.9</v>
      </c>
      <c r="J12" s="6">
        <v>50.7</v>
      </c>
      <c r="K12" s="5">
        <v>0.29699999999999999</v>
      </c>
      <c r="L12" s="6">
        <v>0.27300000000000002</v>
      </c>
      <c r="M12" s="1">
        <v>92</v>
      </c>
      <c r="N12" s="6">
        <v>97</v>
      </c>
      <c r="O12" s="1" t="s">
        <v>23</v>
      </c>
      <c r="P12" s="1">
        <v>2</v>
      </c>
      <c r="Q12" s="1" t="s">
        <v>24</v>
      </c>
      <c r="R12" s="6">
        <v>1</v>
      </c>
      <c r="S12" s="1">
        <v>10</v>
      </c>
      <c r="T12" s="1">
        <v>0</v>
      </c>
      <c r="U12" s="12">
        <v>7.2999999999999995E-2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29.52</v>
      </c>
      <c r="F13" s="6">
        <v>29.58</v>
      </c>
      <c r="G13" s="1">
        <v>48</v>
      </c>
      <c r="H13" s="1">
        <v>42.3</v>
      </c>
      <c r="I13" s="1">
        <v>39.1</v>
      </c>
      <c r="J13" s="6">
        <v>53.3</v>
      </c>
      <c r="K13" s="5">
        <v>0.28499999999999998</v>
      </c>
      <c r="L13" s="6">
        <v>0.224</v>
      </c>
      <c r="M13" s="1">
        <v>86</v>
      </c>
      <c r="N13" s="6">
        <v>84</v>
      </c>
      <c r="O13" s="1" t="s">
        <v>23</v>
      </c>
      <c r="P13" s="1">
        <v>3</v>
      </c>
      <c r="Q13" s="1" t="s">
        <v>26</v>
      </c>
      <c r="R13" s="6">
        <v>5</v>
      </c>
      <c r="S13" s="1">
        <v>9</v>
      </c>
      <c r="T13" s="1">
        <v>7</v>
      </c>
      <c r="U13" s="12">
        <v>0.46400000000000002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29.63</v>
      </c>
      <c r="F14" s="6">
        <v>29.91</v>
      </c>
      <c r="G14" s="1">
        <v>47</v>
      </c>
      <c r="H14" s="1">
        <v>44.2</v>
      </c>
      <c r="I14" s="1">
        <v>40.1</v>
      </c>
      <c r="J14" s="6">
        <v>51.8</v>
      </c>
      <c r="K14" s="5">
        <v>0.253</v>
      </c>
      <c r="L14" s="6">
        <v>0.222</v>
      </c>
      <c r="M14" s="1">
        <v>79</v>
      </c>
      <c r="N14" s="6">
        <v>76</v>
      </c>
      <c r="O14" s="1" t="s">
        <v>21</v>
      </c>
      <c r="P14" s="1">
        <v>1</v>
      </c>
      <c r="Q14" s="1" t="s">
        <v>27</v>
      </c>
      <c r="R14" s="6">
        <v>2</v>
      </c>
      <c r="S14" s="1">
        <v>9</v>
      </c>
      <c r="T14" s="1">
        <v>2</v>
      </c>
      <c r="U14" s="12">
        <v>3.3000000000000002E-2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30.07</v>
      </c>
      <c r="F15" s="6">
        <v>30.07</v>
      </c>
      <c r="G15" s="1">
        <v>51</v>
      </c>
      <c r="H15" s="1">
        <v>49.4</v>
      </c>
      <c r="I15" s="1">
        <v>41.3</v>
      </c>
      <c r="J15" s="6">
        <v>53.1</v>
      </c>
      <c r="K15" s="5">
        <v>0.251</v>
      </c>
      <c r="L15" s="6">
        <v>0.29299999999999998</v>
      </c>
      <c r="M15" s="1">
        <v>67</v>
      </c>
      <c r="N15" s="6">
        <v>84</v>
      </c>
      <c r="O15" s="1" t="s">
        <v>27</v>
      </c>
      <c r="P15" s="1">
        <v>3</v>
      </c>
      <c r="Q15" s="1" t="s">
        <v>26</v>
      </c>
      <c r="R15" s="6">
        <v>3</v>
      </c>
      <c r="S15" s="1">
        <v>5</v>
      </c>
      <c r="T15" s="1">
        <v>10</v>
      </c>
      <c r="U15" s="12">
        <v>0.11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30.01</v>
      </c>
      <c r="F16" s="6">
        <v>30.1</v>
      </c>
      <c r="G16" s="1">
        <v>53</v>
      </c>
      <c r="H16" s="1">
        <v>52.4</v>
      </c>
      <c r="I16" s="1">
        <v>48.1</v>
      </c>
      <c r="J16" s="6">
        <v>56.9</v>
      </c>
      <c r="K16" s="5">
        <v>0.34699999999999998</v>
      </c>
      <c r="L16" s="6">
        <v>0.33</v>
      </c>
      <c r="M16" s="1">
        <v>86</v>
      </c>
      <c r="N16" s="6">
        <v>84</v>
      </c>
      <c r="O16" s="1" t="s">
        <v>26</v>
      </c>
      <c r="P16" s="1">
        <v>4</v>
      </c>
      <c r="Q16" s="1" t="s">
        <v>25</v>
      </c>
      <c r="R16" s="6">
        <v>3</v>
      </c>
      <c r="S16" s="1">
        <v>10</v>
      </c>
      <c r="T16" s="1">
        <v>0</v>
      </c>
      <c r="U16" s="12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30.07</v>
      </c>
      <c r="F17" s="6">
        <v>29.98</v>
      </c>
      <c r="G17" s="1">
        <v>55.8</v>
      </c>
      <c r="H17" s="1">
        <v>53.3</v>
      </c>
      <c r="I17" s="1">
        <v>48.3</v>
      </c>
      <c r="J17" s="6">
        <v>67.3</v>
      </c>
      <c r="K17" s="5">
        <v>0.35</v>
      </c>
      <c r="L17" s="6">
        <v>0.36499999999999999</v>
      </c>
      <c r="M17" s="1">
        <v>78</v>
      </c>
      <c r="N17" s="6">
        <v>90</v>
      </c>
      <c r="O17" s="1" t="s">
        <v>21</v>
      </c>
      <c r="P17" s="1">
        <v>2</v>
      </c>
      <c r="Q17" s="1" t="s">
        <v>33</v>
      </c>
      <c r="R17" s="6">
        <v>0</v>
      </c>
      <c r="S17" s="1">
        <v>0</v>
      </c>
      <c r="T17" s="1">
        <v>7</v>
      </c>
      <c r="U17" s="12">
        <v>0.14000000000000001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29.98</v>
      </c>
      <c r="F18" s="6">
        <v>30.01</v>
      </c>
      <c r="G18" s="1">
        <v>53</v>
      </c>
      <c r="H18" s="1">
        <v>53.1</v>
      </c>
      <c r="I18" s="1">
        <v>50.3</v>
      </c>
      <c r="J18" s="6">
        <v>57.3</v>
      </c>
      <c r="K18" s="5">
        <v>0.38600000000000001</v>
      </c>
      <c r="L18" s="6">
        <v>0.373</v>
      </c>
      <c r="M18" s="1">
        <v>96</v>
      </c>
      <c r="N18" s="6">
        <v>92</v>
      </c>
      <c r="O18" s="1" t="s">
        <v>25</v>
      </c>
      <c r="P18" s="1">
        <v>1</v>
      </c>
      <c r="Q18" s="1" t="s">
        <v>33</v>
      </c>
      <c r="R18" s="6">
        <v>0</v>
      </c>
      <c r="S18" s="1">
        <v>10</v>
      </c>
      <c r="T18" s="1">
        <v>10</v>
      </c>
      <c r="U18" s="12">
        <v>0.09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30.11</v>
      </c>
      <c r="F19" s="6">
        <v>30.13</v>
      </c>
      <c r="G19" s="1">
        <v>54.4</v>
      </c>
      <c r="H19" s="1">
        <v>57.3</v>
      </c>
      <c r="I19" s="1">
        <v>50.8</v>
      </c>
      <c r="J19" s="6">
        <v>60.2</v>
      </c>
      <c r="K19" s="5">
        <v>0.38600000000000001</v>
      </c>
      <c r="L19" s="6">
        <v>0.36099999999999999</v>
      </c>
      <c r="M19" s="1">
        <v>92</v>
      </c>
      <c r="N19" s="6">
        <v>77</v>
      </c>
      <c r="O19" s="1" t="s">
        <v>33</v>
      </c>
      <c r="P19" s="1">
        <v>0</v>
      </c>
      <c r="Q19" s="1" t="s">
        <v>28</v>
      </c>
      <c r="R19" s="6">
        <v>3</v>
      </c>
      <c r="S19" s="1">
        <v>10</v>
      </c>
      <c r="T19" s="1">
        <v>7</v>
      </c>
      <c r="U19" s="12">
        <v>0.04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30.19</v>
      </c>
      <c r="F20" s="6">
        <v>30.26</v>
      </c>
      <c r="G20" s="1">
        <v>64.2</v>
      </c>
      <c r="H20" s="1">
        <v>57.2</v>
      </c>
      <c r="I20" s="1">
        <v>54</v>
      </c>
      <c r="J20" s="6">
        <v>68</v>
      </c>
      <c r="K20" s="5">
        <v>0.42599999999999999</v>
      </c>
      <c r="L20" s="6">
        <v>0.32300000000000001</v>
      </c>
      <c r="M20" s="1">
        <v>71</v>
      </c>
      <c r="N20" s="6">
        <v>69</v>
      </c>
      <c r="O20" s="1" t="s">
        <v>24</v>
      </c>
      <c r="P20" s="1">
        <v>3</v>
      </c>
      <c r="Q20" s="1" t="s">
        <v>23</v>
      </c>
      <c r="R20" s="6">
        <v>4</v>
      </c>
      <c r="S20" s="1">
        <v>8</v>
      </c>
      <c r="T20" s="1">
        <v>0</v>
      </c>
      <c r="U20" s="12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30.33</v>
      </c>
      <c r="F21" s="6">
        <v>30.33</v>
      </c>
      <c r="G21" s="1">
        <v>62.3</v>
      </c>
      <c r="H21" s="1">
        <v>54.4</v>
      </c>
      <c r="I21" s="1">
        <v>51.7</v>
      </c>
      <c r="J21" s="6">
        <v>67.5</v>
      </c>
      <c r="K21" s="5">
        <v>0.34399999999999997</v>
      </c>
      <c r="L21" s="6">
        <v>0.2</v>
      </c>
      <c r="M21" s="1">
        <v>61</v>
      </c>
      <c r="N21" s="6">
        <v>48</v>
      </c>
      <c r="O21" s="1" t="s">
        <v>23</v>
      </c>
      <c r="P21" s="1">
        <v>3</v>
      </c>
      <c r="Q21" s="1" t="s">
        <v>23</v>
      </c>
      <c r="R21" s="6">
        <v>2</v>
      </c>
      <c r="S21" s="1">
        <v>0</v>
      </c>
      <c r="T21" s="1">
        <v>2</v>
      </c>
      <c r="U21" s="12" t="s">
        <v>22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30.32</v>
      </c>
      <c r="F22" s="6">
        <v>30.26</v>
      </c>
      <c r="G22" s="1">
        <v>63</v>
      </c>
      <c r="H22" s="1">
        <v>51.5</v>
      </c>
      <c r="I22" s="1">
        <v>50.5</v>
      </c>
      <c r="J22" s="6">
        <v>66</v>
      </c>
      <c r="K22" s="5">
        <v>0.23100000000000001</v>
      </c>
      <c r="L22" s="6">
        <v>0.316</v>
      </c>
      <c r="M22" s="1">
        <v>40</v>
      </c>
      <c r="N22" s="6">
        <v>83</v>
      </c>
      <c r="O22" s="1" t="s">
        <v>23</v>
      </c>
      <c r="P22" s="1">
        <v>1</v>
      </c>
      <c r="Q22" s="1" t="s">
        <v>21</v>
      </c>
      <c r="R22" s="6">
        <v>1</v>
      </c>
      <c r="S22" s="1">
        <v>5</v>
      </c>
      <c r="T22" s="1">
        <v>1</v>
      </c>
      <c r="U22" s="12" t="s">
        <v>22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30.18</v>
      </c>
      <c r="F23" s="6">
        <v>30.14</v>
      </c>
      <c r="G23" s="1">
        <v>59.8</v>
      </c>
      <c r="H23" s="1">
        <v>50.4</v>
      </c>
      <c r="I23" s="1">
        <v>47.3</v>
      </c>
      <c r="J23" s="6">
        <v>62</v>
      </c>
      <c r="K23" s="5">
        <v>0.34599999999999997</v>
      </c>
      <c r="L23" s="6">
        <v>0.34899999999999998</v>
      </c>
      <c r="M23" s="1">
        <v>67</v>
      </c>
      <c r="N23" s="6">
        <v>95</v>
      </c>
      <c r="O23" s="1" t="s">
        <v>21</v>
      </c>
      <c r="P23" s="1">
        <v>2</v>
      </c>
      <c r="Q23" s="1" t="s">
        <v>29</v>
      </c>
      <c r="R23" s="6">
        <v>1</v>
      </c>
      <c r="S23" s="1">
        <v>2</v>
      </c>
      <c r="T23" s="1">
        <v>8</v>
      </c>
      <c r="U23" s="12" t="s">
        <v>22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30.11</v>
      </c>
      <c r="F24" s="6">
        <v>30.13</v>
      </c>
      <c r="G24" s="1">
        <v>58.2</v>
      </c>
      <c r="H24" s="1">
        <v>52.3</v>
      </c>
      <c r="I24" s="1">
        <v>47.9</v>
      </c>
      <c r="J24" s="6">
        <v>62.7</v>
      </c>
      <c r="K24" s="5">
        <v>0.36299999999999999</v>
      </c>
      <c r="L24" s="6">
        <v>0.32700000000000001</v>
      </c>
      <c r="M24" s="1">
        <v>75</v>
      </c>
      <c r="N24" s="6">
        <v>83</v>
      </c>
      <c r="O24" s="1" t="s">
        <v>33</v>
      </c>
      <c r="P24" s="1">
        <v>0</v>
      </c>
      <c r="Q24" s="1" t="s">
        <v>24</v>
      </c>
      <c r="R24" s="6">
        <v>2</v>
      </c>
      <c r="S24" s="1">
        <v>9</v>
      </c>
      <c r="T24" s="1">
        <v>1</v>
      </c>
      <c r="U24" s="12" t="s">
        <v>22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30.18</v>
      </c>
      <c r="F25" s="6">
        <v>30.2</v>
      </c>
      <c r="G25" s="1">
        <v>60.1</v>
      </c>
      <c r="H25" s="1">
        <v>55.2</v>
      </c>
      <c r="I25" s="1">
        <v>49.3</v>
      </c>
      <c r="J25" s="6">
        <v>66.099999999999994</v>
      </c>
      <c r="K25" s="5">
        <v>0.36799999999999999</v>
      </c>
      <c r="L25" s="6">
        <v>0.32300000000000001</v>
      </c>
      <c r="M25" s="1">
        <v>71</v>
      </c>
      <c r="N25" s="6">
        <v>74</v>
      </c>
      <c r="O25" s="1" t="s">
        <v>21</v>
      </c>
      <c r="P25" s="1">
        <v>2</v>
      </c>
      <c r="Q25" s="1" t="s">
        <v>21</v>
      </c>
      <c r="R25" s="6">
        <v>1</v>
      </c>
      <c r="S25" s="1">
        <v>6</v>
      </c>
      <c r="T25" s="1">
        <v>7</v>
      </c>
      <c r="U25" s="12" t="s">
        <v>22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30.21</v>
      </c>
      <c r="F26" s="6">
        <v>30.23</v>
      </c>
      <c r="G26" s="1">
        <v>61.2</v>
      </c>
      <c r="H26" s="1">
        <v>55.5</v>
      </c>
      <c r="I26" s="1">
        <v>50.9</v>
      </c>
      <c r="J26" s="6">
        <v>71.3</v>
      </c>
      <c r="K26" s="5">
        <v>0.379</v>
      </c>
      <c r="L26" s="6">
        <v>0.33800000000000002</v>
      </c>
      <c r="M26" s="1">
        <v>71</v>
      </c>
      <c r="N26" s="6">
        <v>76</v>
      </c>
      <c r="O26" s="1" t="s">
        <v>21</v>
      </c>
      <c r="P26" s="1">
        <v>1</v>
      </c>
      <c r="Q26" s="1" t="s">
        <v>33</v>
      </c>
      <c r="R26" s="6">
        <v>0</v>
      </c>
      <c r="S26" s="1">
        <v>4</v>
      </c>
      <c r="T26" s="1">
        <v>1</v>
      </c>
      <c r="U26" s="12" t="s">
        <v>22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30.26</v>
      </c>
      <c r="F27" s="6">
        <v>30.27</v>
      </c>
      <c r="G27" s="1">
        <v>65.2</v>
      </c>
      <c r="H27" s="1">
        <v>50.3</v>
      </c>
      <c r="I27" s="1">
        <v>49.1</v>
      </c>
      <c r="J27" s="6">
        <v>70.7</v>
      </c>
      <c r="K27" s="5">
        <v>0.40799999999999997</v>
      </c>
      <c r="L27" s="6">
        <v>0.35499999999999998</v>
      </c>
      <c r="M27" s="1">
        <v>66</v>
      </c>
      <c r="N27" s="6">
        <v>97</v>
      </c>
      <c r="O27" s="1" t="s">
        <v>21</v>
      </c>
      <c r="P27" s="1">
        <v>1</v>
      </c>
      <c r="Q27" s="1" t="s">
        <v>25</v>
      </c>
      <c r="R27" s="6">
        <v>1</v>
      </c>
      <c r="S27" s="1">
        <v>0</v>
      </c>
      <c r="T27" s="1">
        <v>10</v>
      </c>
      <c r="U27" s="12" t="s">
        <v>22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30.24</v>
      </c>
      <c r="F28" s="6">
        <v>30.14</v>
      </c>
      <c r="G28" s="1">
        <v>55.2</v>
      </c>
      <c r="H28" s="1">
        <v>53</v>
      </c>
      <c r="I28" s="1">
        <v>50</v>
      </c>
      <c r="J28" s="6">
        <v>62.4</v>
      </c>
      <c r="K28" s="5">
        <v>0.36499999999999999</v>
      </c>
      <c r="L28" s="6">
        <v>0.34699999999999998</v>
      </c>
      <c r="M28" s="1">
        <v>83</v>
      </c>
      <c r="N28" s="6">
        <v>86</v>
      </c>
      <c r="O28" s="1" t="s">
        <v>28</v>
      </c>
      <c r="P28" s="1">
        <v>2</v>
      </c>
      <c r="Q28" s="1" t="s">
        <v>28</v>
      </c>
      <c r="R28" s="6">
        <v>1</v>
      </c>
      <c r="S28" s="1">
        <v>10</v>
      </c>
      <c r="T28" s="1">
        <v>1</v>
      </c>
      <c r="U28" s="12" t="s">
        <v>22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29.96</v>
      </c>
      <c r="F29" s="6">
        <v>29.77</v>
      </c>
      <c r="G29" s="1">
        <v>60.4</v>
      </c>
      <c r="H29" s="1">
        <v>60.6</v>
      </c>
      <c r="I29" s="1">
        <v>51.5</v>
      </c>
      <c r="J29" s="6">
        <v>65.7</v>
      </c>
      <c r="K29" s="5">
        <v>0.39</v>
      </c>
      <c r="L29" s="6">
        <v>0.41499999999999998</v>
      </c>
      <c r="M29" s="1">
        <v>74</v>
      </c>
      <c r="N29" s="6">
        <v>79</v>
      </c>
      <c r="O29" s="1" t="s">
        <v>21</v>
      </c>
      <c r="P29" s="1">
        <v>1</v>
      </c>
      <c r="Q29" s="1" t="s">
        <v>33</v>
      </c>
      <c r="R29" s="6">
        <v>0</v>
      </c>
      <c r="S29" s="1">
        <v>9</v>
      </c>
      <c r="T29" s="1">
        <v>9</v>
      </c>
      <c r="U29" s="12">
        <v>0.752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29.68</v>
      </c>
      <c r="F30" s="6">
        <v>29.89</v>
      </c>
      <c r="G30" s="1">
        <v>54</v>
      </c>
      <c r="H30" s="1">
        <v>52</v>
      </c>
      <c r="I30" s="1">
        <v>51.8</v>
      </c>
      <c r="J30" s="6">
        <v>61.5</v>
      </c>
      <c r="K30" s="5">
        <v>0.39700000000000002</v>
      </c>
      <c r="L30" s="6">
        <v>0.35299999999999998</v>
      </c>
      <c r="M30" s="1">
        <v>95</v>
      </c>
      <c r="N30" s="6">
        <v>91</v>
      </c>
      <c r="O30" s="1" t="s">
        <v>25</v>
      </c>
      <c r="P30" s="1">
        <v>1</v>
      </c>
      <c r="Q30" s="1" t="s">
        <v>25</v>
      </c>
      <c r="R30" s="6">
        <v>1</v>
      </c>
      <c r="S30" s="1">
        <v>10</v>
      </c>
      <c r="T30" s="1">
        <v>10</v>
      </c>
      <c r="U30" s="12">
        <v>0.28000000000000003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30.04</v>
      </c>
      <c r="F31" s="6">
        <v>30.13</v>
      </c>
      <c r="G31" s="1">
        <v>53.9</v>
      </c>
      <c r="H31" s="1">
        <v>48.2</v>
      </c>
      <c r="I31" s="1">
        <v>45.4</v>
      </c>
      <c r="J31" s="6">
        <v>61</v>
      </c>
      <c r="K31" s="5">
        <v>0.316</v>
      </c>
      <c r="L31" s="6">
        <v>0.28299999999999997</v>
      </c>
      <c r="M31" s="1">
        <v>76</v>
      </c>
      <c r="N31" s="6">
        <v>85</v>
      </c>
      <c r="O31" s="1" t="s">
        <v>26</v>
      </c>
      <c r="P31" s="1">
        <v>1</v>
      </c>
      <c r="Q31" s="1" t="s">
        <v>27</v>
      </c>
      <c r="R31" s="6">
        <v>1</v>
      </c>
      <c r="S31" s="1">
        <v>6</v>
      </c>
      <c r="T31" s="1">
        <v>0</v>
      </c>
      <c r="U31" s="12" t="s">
        <v>22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30.15</v>
      </c>
      <c r="F32" s="6">
        <v>30.13</v>
      </c>
      <c r="G32" s="1">
        <v>58.5</v>
      </c>
      <c r="H32" s="1">
        <v>53.1</v>
      </c>
      <c r="I32" s="1">
        <v>45.7</v>
      </c>
      <c r="J32" s="6">
        <v>64.8</v>
      </c>
      <c r="K32" s="5">
        <v>0.32300000000000001</v>
      </c>
      <c r="L32" s="6">
        <v>0.30499999999999999</v>
      </c>
      <c r="M32" s="1">
        <v>65</v>
      </c>
      <c r="N32" s="6">
        <v>75</v>
      </c>
      <c r="O32" s="1" t="s">
        <v>29</v>
      </c>
      <c r="P32" s="1">
        <v>2</v>
      </c>
      <c r="Q32" s="1" t="s">
        <v>28</v>
      </c>
      <c r="R32" s="6">
        <v>1</v>
      </c>
      <c r="S32" s="1">
        <v>1</v>
      </c>
      <c r="T32" s="1">
        <v>1</v>
      </c>
      <c r="U32" s="12" t="s">
        <v>22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30.11</v>
      </c>
      <c r="F33" s="6">
        <v>30.2</v>
      </c>
      <c r="G33" s="1">
        <v>59</v>
      </c>
      <c r="H33" s="1">
        <v>51.2</v>
      </c>
      <c r="I33" s="1">
        <v>50.1</v>
      </c>
      <c r="J33" s="6">
        <v>62.4</v>
      </c>
      <c r="K33" s="5">
        <v>0.39600000000000002</v>
      </c>
      <c r="L33" s="6">
        <v>0.35</v>
      </c>
      <c r="M33" s="1">
        <v>80</v>
      </c>
      <c r="N33" s="6">
        <v>93</v>
      </c>
      <c r="O33" s="1" t="s">
        <v>29</v>
      </c>
      <c r="P33" s="1">
        <v>2</v>
      </c>
      <c r="Q33" s="1" t="s">
        <v>27</v>
      </c>
      <c r="R33" s="6">
        <v>1</v>
      </c>
      <c r="S33" s="1">
        <v>10</v>
      </c>
      <c r="T33" s="1">
        <v>9</v>
      </c>
      <c r="U33" s="12">
        <v>0.02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30.27</v>
      </c>
      <c r="F34" s="6">
        <v>30.32</v>
      </c>
      <c r="G34" s="1">
        <v>56</v>
      </c>
      <c r="H34" s="1">
        <v>50</v>
      </c>
      <c r="I34" s="1">
        <v>49.8</v>
      </c>
      <c r="J34" s="6">
        <v>61</v>
      </c>
      <c r="K34" s="5">
        <v>0.29499999999999998</v>
      </c>
      <c r="L34" s="6">
        <v>0.32900000000000001</v>
      </c>
      <c r="M34" s="1">
        <v>65</v>
      </c>
      <c r="N34" s="6">
        <v>92</v>
      </c>
      <c r="O34" s="1" t="s">
        <v>24</v>
      </c>
      <c r="P34" s="1">
        <v>1</v>
      </c>
      <c r="Q34" s="1" t="s">
        <v>33</v>
      </c>
      <c r="R34" s="6">
        <v>0</v>
      </c>
      <c r="S34" s="1">
        <v>8</v>
      </c>
      <c r="T34" s="1">
        <v>0</v>
      </c>
      <c r="U34" s="12" t="s">
        <v>22</v>
      </c>
    </row>
    <row r="35" spans="1:21" s="1" customFormat="1">
      <c r="A35" s="5" t="s">
        <v>76</v>
      </c>
      <c r="B35" s="1">
        <v>1883</v>
      </c>
      <c r="C35" s="1" t="s">
        <v>20</v>
      </c>
      <c r="D35" s="8">
        <v>31</v>
      </c>
      <c r="E35" s="7">
        <v>30.3</v>
      </c>
      <c r="F35" s="9">
        <v>30.18</v>
      </c>
      <c r="G35" s="8">
        <v>60</v>
      </c>
      <c r="H35" s="8">
        <v>57.1</v>
      </c>
      <c r="I35" s="8">
        <v>49</v>
      </c>
      <c r="J35" s="9">
        <v>62.2</v>
      </c>
      <c r="K35" s="7">
        <v>0.33700000000000002</v>
      </c>
      <c r="L35" s="9">
        <v>0.33300000000000002</v>
      </c>
      <c r="M35" s="8">
        <v>65</v>
      </c>
      <c r="N35" s="9">
        <v>72</v>
      </c>
      <c r="O35" s="8" t="s">
        <v>21</v>
      </c>
      <c r="P35" s="8">
        <v>1</v>
      </c>
      <c r="Q35" s="8" t="s">
        <v>24</v>
      </c>
      <c r="R35" s="9">
        <v>2</v>
      </c>
      <c r="S35" s="8">
        <v>0</v>
      </c>
      <c r="T35" s="8">
        <v>9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30.01</v>
      </c>
      <c r="F36" s="16">
        <v>30.021999999999998</v>
      </c>
      <c r="G36" s="14">
        <v>54.7</v>
      </c>
      <c r="H36" s="15">
        <v>50.6</v>
      </c>
      <c r="I36" s="15">
        <v>46.7</v>
      </c>
      <c r="J36" s="16">
        <v>59.7</v>
      </c>
      <c r="K36" s="15">
        <v>0.32300000000000001</v>
      </c>
      <c r="L36" s="15">
        <v>0.30199999999999999</v>
      </c>
      <c r="M36" s="14">
        <v>75.400000000000006</v>
      </c>
      <c r="N36" s="16">
        <v>81.400000000000006</v>
      </c>
      <c r="O36" s="14" t="s">
        <v>22</v>
      </c>
      <c r="P36" s="15">
        <v>1.8</v>
      </c>
      <c r="Q36" s="15" t="s">
        <v>22</v>
      </c>
      <c r="R36" s="16">
        <v>1.5</v>
      </c>
      <c r="S36" s="14">
        <v>6.6</v>
      </c>
      <c r="T36" s="16">
        <v>4.5</v>
      </c>
      <c r="U36" s="17">
        <v>2.464</v>
      </c>
    </row>
    <row r="37" spans="1:21">
      <c r="F37">
        <f>SUM(F5:F35)/31</f>
        <v>30.022903225806452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D14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30.01</v>
      </c>
      <c r="F5" s="6">
        <v>30.08</v>
      </c>
      <c r="G5" s="1">
        <v>51.5</v>
      </c>
      <c r="H5" s="1">
        <v>44.8</v>
      </c>
      <c r="I5" s="1">
        <v>38</v>
      </c>
      <c r="J5" s="6">
        <v>62.8</v>
      </c>
      <c r="K5" s="5">
        <v>0.249</v>
      </c>
      <c r="L5" s="6">
        <v>0.25700000000000001</v>
      </c>
      <c r="M5" s="1">
        <v>66</v>
      </c>
      <c r="N5" s="6">
        <v>87</v>
      </c>
      <c r="O5" s="1" t="s">
        <v>28</v>
      </c>
      <c r="P5" s="1">
        <v>1</v>
      </c>
      <c r="Q5" s="1" t="s">
        <v>28</v>
      </c>
      <c r="R5" s="6">
        <v>1</v>
      </c>
      <c r="S5" s="1">
        <v>1</v>
      </c>
      <c r="T5" s="1">
        <v>0</v>
      </c>
      <c r="U5" s="12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30.13</v>
      </c>
      <c r="F6" s="6">
        <v>30.08</v>
      </c>
      <c r="G6" s="1">
        <v>50.7</v>
      </c>
      <c r="H6" s="1">
        <v>44.8</v>
      </c>
      <c r="I6" s="1">
        <v>36.9</v>
      </c>
      <c r="J6" s="6">
        <v>52</v>
      </c>
      <c r="K6" s="5">
        <v>0.3</v>
      </c>
      <c r="L6" s="6">
        <v>0.251</v>
      </c>
      <c r="M6" s="1">
        <v>81</v>
      </c>
      <c r="N6" s="6">
        <v>85</v>
      </c>
      <c r="O6" s="1" t="s">
        <v>24</v>
      </c>
      <c r="P6" s="1">
        <v>1</v>
      </c>
      <c r="Q6" s="1" t="s">
        <v>24</v>
      </c>
      <c r="R6" s="6">
        <v>2</v>
      </c>
      <c r="S6" s="1">
        <v>2</v>
      </c>
      <c r="T6" s="1">
        <v>10</v>
      </c>
      <c r="U6" s="12" t="s">
        <v>22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29.99</v>
      </c>
      <c r="F7" s="6">
        <v>30.04</v>
      </c>
      <c r="G7" s="1">
        <v>49.7</v>
      </c>
      <c r="H7" s="1">
        <v>43.9</v>
      </c>
      <c r="I7" s="1">
        <v>40.799999999999997</v>
      </c>
      <c r="J7" s="6">
        <v>51.8</v>
      </c>
      <c r="K7" s="5">
        <v>0.21299999999999999</v>
      </c>
      <c r="L7" s="6">
        <v>0.223</v>
      </c>
      <c r="M7" s="1">
        <v>60</v>
      </c>
      <c r="N7" s="6">
        <v>77</v>
      </c>
      <c r="O7" s="1" t="s">
        <v>28</v>
      </c>
      <c r="P7" s="1">
        <v>3</v>
      </c>
      <c r="Q7" s="1" t="s">
        <v>28</v>
      </c>
      <c r="R7" s="6">
        <v>1</v>
      </c>
      <c r="S7" s="1">
        <v>9</v>
      </c>
      <c r="T7" s="1">
        <v>9</v>
      </c>
      <c r="U7" s="12" t="s">
        <v>22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30.08</v>
      </c>
      <c r="F8" s="6">
        <v>30.07</v>
      </c>
      <c r="G8" s="1">
        <v>49.7</v>
      </c>
      <c r="H8" s="1">
        <v>45.7</v>
      </c>
      <c r="I8" s="1">
        <v>39.5</v>
      </c>
      <c r="J8" s="6">
        <v>54.9</v>
      </c>
      <c r="K8" s="5">
        <v>0.20899999999999999</v>
      </c>
      <c r="L8" s="6">
        <v>0.27</v>
      </c>
      <c r="M8" s="1">
        <v>59</v>
      </c>
      <c r="N8" s="6">
        <v>89</v>
      </c>
      <c r="O8" s="1" t="s">
        <v>24</v>
      </c>
      <c r="P8" s="1">
        <v>3</v>
      </c>
      <c r="Q8" s="1" t="s">
        <v>28</v>
      </c>
      <c r="R8" s="6">
        <v>1</v>
      </c>
      <c r="S8" s="1">
        <v>4</v>
      </c>
      <c r="T8" s="1">
        <v>10</v>
      </c>
      <c r="U8" s="12">
        <v>0.01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30.1</v>
      </c>
      <c r="F9" s="6">
        <v>30.09</v>
      </c>
      <c r="G9" s="1">
        <v>42.9</v>
      </c>
      <c r="H9" s="1">
        <v>46.1</v>
      </c>
      <c r="I9" s="1">
        <v>39.799999999999997</v>
      </c>
      <c r="J9" s="6">
        <v>55.2</v>
      </c>
      <c r="K9" s="5">
        <v>0.22600000000000001</v>
      </c>
      <c r="L9" s="6">
        <v>0.26800000000000002</v>
      </c>
      <c r="M9" s="1">
        <v>82</v>
      </c>
      <c r="N9" s="6">
        <v>86</v>
      </c>
      <c r="O9" s="1" t="s">
        <v>26</v>
      </c>
      <c r="P9" s="1">
        <v>1</v>
      </c>
      <c r="Q9" s="1" t="s">
        <v>33</v>
      </c>
      <c r="R9" s="6">
        <v>0</v>
      </c>
      <c r="S9" s="1">
        <v>10</v>
      </c>
      <c r="T9" s="1">
        <v>10</v>
      </c>
      <c r="U9" s="12">
        <v>0.02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30.14</v>
      </c>
      <c r="F10" s="6">
        <v>30.07</v>
      </c>
      <c r="G10" s="1">
        <v>50.1</v>
      </c>
      <c r="H10" s="1">
        <v>45.7</v>
      </c>
      <c r="I10" s="1">
        <v>36.799999999999997</v>
      </c>
      <c r="J10" s="6">
        <v>57</v>
      </c>
      <c r="K10" s="5">
        <v>0.223</v>
      </c>
      <c r="L10" s="6">
        <v>0.26600000000000001</v>
      </c>
      <c r="M10" s="1">
        <v>63</v>
      </c>
      <c r="N10" s="6">
        <v>87</v>
      </c>
      <c r="O10" s="1" t="s">
        <v>24</v>
      </c>
      <c r="P10" s="1">
        <v>2</v>
      </c>
      <c r="Q10" s="1" t="s">
        <v>24</v>
      </c>
      <c r="R10" s="6">
        <v>1</v>
      </c>
      <c r="S10" s="1">
        <v>7</v>
      </c>
      <c r="T10" s="1">
        <v>6</v>
      </c>
      <c r="U10" s="12" t="s">
        <v>22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29.92</v>
      </c>
      <c r="F11" s="6">
        <v>29.79</v>
      </c>
      <c r="G11" s="1">
        <v>53.2</v>
      </c>
      <c r="H11" s="1">
        <v>41.6</v>
      </c>
      <c r="I11" s="1">
        <v>34.799999999999997</v>
      </c>
      <c r="J11" s="6">
        <v>56.4</v>
      </c>
      <c r="K11" s="5">
        <v>0.24399999999999999</v>
      </c>
      <c r="L11" s="6">
        <v>0.22700000000000001</v>
      </c>
      <c r="M11" s="1">
        <v>60</v>
      </c>
      <c r="N11" s="6">
        <v>87</v>
      </c>
      <c r="O11" s="1" t="s">
        <v>28</v>
      </c>
      <c r="P11" s="1">
        <v>2</v>
      </c>
      <c r="Q11" s="1" t="s">
        <v>28</v>
      </c>
      <c r="R11" s="6">
        <v>3</v>
      </c>
      <c r="S11" s="1">
        <v>9</v>
      </c>
      <c r="T11" s="1">
        <v>10</v>
      </c>
      <c r="U11" s="12">
        <v>0.18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29.81</v>
      </c>
      <c r="F12" s="6">
        <v>29.77</v>
      </c>
      <c r="G12" s="1">
        <v>37.799999999999997</v>
      </c>
      <c r="H12" s="1">
        <v>37.6</v>
      </c>
      <c r="I12" s="1">
        <v>35.9</v>
      </c>
      <c r="J12" s="6">
        <v>47</v>
      </c>
      <c r="K12" s="5">
        <v>0.218</v>
      </c>
      <c r="L12" s="6">
        <v>0.21099999999999999</v>
      </c>
      <c r="M12" s="1">
        <v>97</v>
      </c>
      <c r="N12" s="6">
        <v>94</v>
      </c>
      <c r="O12" s="1" t="s">
        <v>23</v>
      </c>
      <c r="P12" s="1">
        <v>1</v>
      </c>
      <c r="Q12" s="1" t="s">
        <v>28</v>
      </c>
      <c r="R12" s="6">
        <v>1</v>
      </c>
      <c r="S12" s="1">
        <v>10</v>
      </c>
      <c r="T12" s="1">
        <v>10</v>
      </c>
      <c r="U12" s="12">
        <v>0.22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29.78</v>
      </c>
      <c r="F13" s="6">
        <v>29.85</v>
      </c>
      <c r="G13" s="1">
        <v>42.7</v>
      </c>
      <c r="H13" s="1">
        <v>38.700000000000003</v>
      </c>
      <c r="I13" s="1">
        <v>36.200000000000003</v>
      </c>
      <c r="J13" s="6">
        <v>50</v>
      </c>
      <c r="K13" s="5">
        <v>0.19500000000000001</v>
      </c>
      <c r="L13" s="6">
        <v>0.191</v>
      </c>
      <c r="M13" s="1">
        <v>71</v>
      </c>
      <c r="N13" s="6">
        <v>82</v>
      </c>
      <c r="O13" s="1" t="s">
        <v>24</v>
      </c>
      <c r="P13" s="1">
        <v>3</v>
      </c>
      <c r="Q13" s="1" t="s">
        <v>24</v>
      </c>
      <c r="R13" s="6">
        <v>1</v>
      </c>
      <c r="S13" s="1">
        <v>9</v>
      </c>
      <c r="T13" s="1">
        <v>1</v>
      </c>
      <c r="U13" s="12" t="s">
        <v>22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29.79</v>
      </c>
      <c r="F14" s="6">
        <v>29.8</v>
      </c>
      <c r="G14" s="1">
        <v>49.1</v>
      </c>
      <c r="H14" s="1">
        <v>39.1</v>
      </c>
      <c r="I14" s="1">
        <v>37</v>
      </c>
      <c r="J14" s="6">
        <v>50</v>
      </c>
      <c r="K14" s="5">
        <v>0.223</v>
      </c>
      <c r="L14" s="6">
        <v>0.215</v>
      </c>
      <c r="M14" s="1">
        <v>64</v>
      </c>
      <c r="N14" s="6">
        <v>90</v>
      </c>
      <c r="O14" s="1" t="s">
        <v>24</v>
      </c>
      <c r="P14" s="1">
        <v>2</v>
      </c>
      <c r="Q14" s="1" t="s">
        <v>27</v>
      </c>
      <c r="R14" s="6">
        <v>2</v>
      </c>
      <c r="S14" s="1">
        <v>8</v>
      </c>
      <c r="T14" s="1">
        <v>4</v>
      </c>
      <c r="U14" s="12">
        <v>0.08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29.75</v>
      </c>
      <c r="F15" s="6">
        <v>29.67</v>
      </c>
      <c r="G15" s="1">
        <v>43</v>
      </c>
      <c r="H15" s="1">
        <v>42.5</v>
      </c>
      <c r="I15" s="1">
        <v>36</v>
      </c>
      <c r="J15" s="6">
        <v>53</v>
      </c>
      <c r="K15" s="5">
        <v>0.217</v>
      </c>
      <c r="L15" s="6">
        <v>0.215</v>
      </c>
      <c r="M15" s="1">
        <v>79</v>
      </c>
      <c r="N15" s="6">
        <v>80</v>
      </c>
      <c r="O15" s="1" t="s">
        <v>26</v>
      </c>
      <c r="P15" s="1">
        <v>3</v>
      </c>
      <c r="Q15" s="1" t="s">
        <v>21</v>
      </c>
      <c r="R15" s="6">
        <v>1</v>
      </c>
      <c r="S15" s="1">
        <v>6</v>
      </c>
      <c r="T15" s="1">
        <v>10</v>
      </c>
      <c r="U15" s="12">
        <v>0.11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29.42</v>
      </c>
      <c r="F16" s="6">
        <v>29.43</v>
      </c>
      <c r="G16" s="1">
        <v>50.7</v>
      </c>
      <c r="H16" s="1">
        <v>51.6</v>
      </c>
      <c r="I16" s="1">
        <v>40.799999999999997</v>
      </c>
      <c r="J16" s="6">
        <v>58</v>
      </c>
      <c r="K16" s="5">
        <v>0.309</v>
      </c>
      <c r="L16" s="6">
        <v>0.318</v>
      </c>
      <c r="M16" s="1">
        <v>84</v>
      </c>
      <c r="N16" s="6">
        <v>83</v>
      </c>
      <c r="O16" s="1" t="s">
        <v>25</v>
      </c>
      <c r="P16" s="1">
        <v>4</v>
      </c>
      <c r="Q16" s="1" t="s">
        <v>25</v>
      </c>
      <c r="R16" s="6">
        <v>6</v>
      </c>
      <c r="S16" s="1">
        <v>9</v>
      </c>
      <c r="T16" s="1">
        <v>10</v>
      </c>
      <c r="U16" s="12">
        <v>0.01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29.44</v>
      </c>
      <c r="F17" s="6">
        <v>29.54</v>
      </c>
      <c r="G17" s="1">
        <v>57</v>
      </c>
      <c r="H17" s="1">
        <v>51.5</v>
      </c>
      <c r="I17" s="1">
        <v>34</v>
      </c>
      <c r="J17" s="6">
        <v>58.6</v>
      </c>
      <c r="K17" s="5">
        <v>0.30199999999999999</v>
      </c>
      <c r="L17" s="6">
        <v>0.31</v>
      </c>
      <c r="M17" s="1">
        <v>65</v>
      </c>
      <c r="N17" s="6">
        <v>81</v>
      </c>
      <c r="O17" s="1" t="s">
        <v>25</v>
      </c>
      <c r="P17" s="1">
        <v>5</v>
      </c>
      <c r="Q17" s="1" t="s">
        <v>25</v>
      </c>
      <c r="R17" s="6">
        <v>5</v>
      </c>
      <c r="S17" s="1">
        <v>10</v>
      </c>
      <c r="T17" s="1">
        <v>6</v>
      </c>
      <c r="U17" s="12" t="s">
        <v>22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29.67</v>
      </c>
      <c r="F18" s="6">
        <v>29.87</v>
      </c>
      <c r="G18" s="1">
        <v>52.6</v>
      </c>
      <c r="H18" s="1">
        <v>48.7</v>
      </c>
      <c r="I18" s="1">
        <v>46.5</v>
      </c>
      <c r="J18" s="6">
        <v>61</v>
      </c>
      <c r="K18" s="5">
        <v>0.29599999999999999</v>
      </c>
      <c r="L18" s="6">
        <v>0.29399999999999998</v>
      </c>
      <c r="M18" s="1">
        <v>75</v>
      </c>
      <c r="N18" s="6">
        <v>86</v>
      </c>
      <c r="O18" s="1" t="s">
        <v>25</v>
      </c>
      <c r="P18" s="1">
        <v>3</v>
      </c>
      <c r="Q18" s="1" t="s">
        <v>29</v>
      </c>
      <c r="R18" s="6">
        <v>1</v>
      </c>
      <c r="S18" s="1">
        <v>7</v>
      </c>
      <c r="T18" s="1">
        <v>1</v>
      </c>
      <c r="U18" s="12">
        <v>0.18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30.1</v>
      </c>
      <c r="F19" s="6">
        <v>30.32</v>
      </c>
      <c r="G19" s="1">
        <v>57.7</v>
      </c>
      <c r="H19" s="1">
        <v>45.9</v>
      </c>
      <c r="I19" s="1">
        <v>38.9</v>
      </c>
      <c r="J19" s="6">
        <v>64.5</v>
      </c>
      <c r="K19" s="5">
        <v>0.33100000000000002</v>
      </c>
      <c r="L19" s="6">
        <v>0.28599999999999998</v>
      </c>
      <c r="M19" s="1">
        <v>69</v>
      </c>
      <c r="N19" s="6">
        <v>93</v>
      </c>
      <c r="O19" s="1" t="s">
        <v>39</v>
      </c>
      <c r="P19" s="1">
        <v>1</v>
      </c>
      <c r="Q19" s="1" t="s">
        <v>33</v>
      </c>
      <c r="R19" s="6">
        <v>0</v>
      </c>
      <c r="S19" s="1">
        <v>5</v>
      </c>
      <c r="T19" s="1">
        <v>0</v>
      </c>
      <c r="U19" s="12" t="s">
        <v>22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30.44</v>
      </c>
      <c r="F20" s="6">
        <v>30.46</v>
      </c>
      <c r="G20" s="1">
        <v>56.7</v>
      </c>
      <c r="H20" s="1">
        <v>46.9</v>
      </c>
      <c r="I20" s="1">
        <v>37.4</v>
      </c>
      <c r="J20" s="6">
        <v>66</v>
      </c>
      <c r="K20" s="5">
        <v>0.30599999999999999</v>
      </c>
      <c r="L20" s="6">
        <v>0.28499999999999998</v>
      </c>
      <c r="M20" s="1">
        <v>66</v>
      </c>
      <c r="N20" s="6">
        <v>90</v>
      </c>
      <c r="O20" s="1" t="s">
        <v>33</v>
      </c>
      <c r="P20" s="1">
        <v>0</v>
      </c>
      <c r="Q20" s="1" t="s">
        <v>33</v>
      </c>
      <c r="R20" s="6">
        <v>0</v>
      </c>
      <c r="S20" s="1">
        <v>6</v>
      </c>
      <c r="T20" s="1">
        <v>0</v>
      </c>
      <c r="U20" s="12" t="s">
        <v>22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30.45</v>
      </c>
      <c r="F21" s="6">
        <v>30.48</v>
      </c>
      <c r="G21" s="1">
        <v>54.7</v>
      </c>
      <c r="H21" s="1">
        <v>46.5</v>
      </c>
      <c r="I21" s="1">
        <v>40</v>
      </c>
      <c r="J21" s="6">
        <v>57.1</v>
      </c>
      <c r="K21" s="5">
        <v>0.30199999999999999</v>
      </c>
      <c r="L21" s="6">
        <v>0.25700000000000001</v>
      </c>
      <c r="M21" s="1">
        <v>71</v>
      </c>
      <c r="N21" s="6">
        <v>82</v>
      </c>
      <c r="O21" s="1" t="s">
        <v>25</v>
      </c>
      <c r="P21" s="1">
        <v>1</v>
      </c>
      <c r="Q21" s="1" t="s">
        <v>27</v>
      </c>
      <c r="R21" s="6">
        <v>1</v>
      </c>
      <c r="S21" s="1">
        <v>10</v>
      </c>
      <c r="T21" s="1">
        <v>1</v>
      </c>
      <c r="U21" s="12" t="s">
        <v>22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30.35</v>
      </c>
      <c r="F22" s="6">
        <v>30.18</v>
      </c>
      <c r="G22" s="1">
        <v>50.3</v>
      </c>
      <c r="H22" s="1">
        <v>48.7</v>
      </c>
      <c r="I22" s="1">
        <v>46.5</v>
      </c>
      <c r="J22" s="6">
        <v>60</v>
      </c>
      <c r="K22" s="5">
        <v>0.34100000000000003</v>
      </c>
      <c r="L22" s="6">
        <v>0.32400000000000001</v>
      </c>
      <c r="M22" s="1">
        <v>94</v>
      </c>
      <c r="N22" s="6">
        <v>94</v>
      </c>
      <c r="O22" s="1" t="s">
        <v>26</v>
      </c>
      <c r="P22" s="1">
        <v>2</v>
      </c>
      <c r="Q22" s="1" t="s">
        <v>26</v>
      </c>
      <c r="R22" s="6">
        <v>1</v>
      </c>
      <c r="S22" s="1">
        <v>2</v>
      </c>
      <c r="T22" s="1">
        <v>10</v>
      </c>
      <c r="U22" s="12">
        <v>0.03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30.13</v>
      </c>
      <c r="F23" s="6">
        <v>30.08</v>
      </c>
      <c r="G23" s="1">
        <v>50.5</v>
      </c>
      <c r="H23" s="1">
        <v>50.7</v>
      </c>
      <c r="I23" s="1">
        <v>46</v>
      </c>
      <c r="J23" s="6">
        <v>54.5</v>
      </c>
      <c r="K23" s="5">
        <v>0.307</v>
      </c>
      <c r="L23" s="6">
        <v>0.37</v>
      </c>
      <c r="M23" s="1">
        <v>84</v>
      </c>
      <c r="N23" s="6">
        <v>100</v>
      </c>
      <c r="O23" s="1" t="s">
        <v>27</v>
      </c>
      <c r="P23" s="1">
        <v>1</v>
      </c>
      <c r="Q23" s="1" t="s">
        <v>29</v>
      </c>
      <c r="R23" s="6">
        <v>1</v>
      </c>
      <c r="S23" s="1">
        <v>10</v>
      </c>
      <c r="T23" s="1">
        <v>10</v>
      </c>
      <c r="U23" s="12">
        <v>0.16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30.03</v>
      </c>
      <c r="F24" s="6">
        <v>30.1</v>
      </c>
      <c r="G24" s="1">
        <v>53.7</v>
      </c>
      <c r="H24" s="1">
        <v>52.7</v>
      </c>
      <c r="I24" s="1">
        <v>49</v>
      </c>
      <c r="J24" s="6">
        <v>57.8</v>
      </c>
      <c r="K24" s="5">
        <v>0.39</v>
      </c>
      <c r="L24" s="6">
        <v>0.39300000000000002</v>
      </c>
      <c r="M24" s="1">
        <v>94</v>
      </c>
      <c r="N24" s="6">
        <v>99</v>
      </c>
      <c r="O24" s="1" t="s">
        <v>26</v>
      </c>
      <c r="P24" s="1">
        <v>2</v>
      </c>
      <c r="Q24" s="1" t="s">
        <v>33</v>
      </c>
      <c r="R24" s="6">
        <v>0</v>
      </c>
      <c r="S24" s="1">
        <v>10</v>
      </c>
      <c r="T24" s="1">
        <v>10</v>
      </c>
      <c r="U24" s="12">
        <v>0.04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30.14</v>
      </c>
      <c r="F25" s="6">
        <v>30.13</v>
      </c>
      <c r="G25" s="1">
        <v>54.7</v>
      </c>
      <c r="H25" s="1">
        <v>48.7</v>
      </c>
      <c r="I25" s="1">
        <v>48.2</v>
      </c>
      <c r="J25" s="6">
        <v>63.4</v>
      </c>
      <c r="K25" s="5">
        <v>0.40500000000000003</v>
      </c>
      <c r="L25" s="6">
        <v>0.33400000000000002</v>
      </c>
      <c r="M25" s="1">
        <v>94</v>
      </c>
      <c r="N25" s="6">
        <v>97</v>
      </c>
      <c r="O25" s="1" t="s">
        <v>35</v>
      </c>
      <c r="P25" s="1">
        <v>1</v>
      </c>
      <c r="Q25" s="1" t="s">
        <v>29</v>
      </c>
      <c r="R25" s="6">
        <v>1</v>
      </c>
      <c r="S25" s="1">
        <v>10</v>
      </c>
      <c r="T25" s="1">
        <v>1</v>
      </c>
      <c r="U25" s="12" t="s">
        <v>22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30.09</v>
      </c>
      <c r="F26" s="6">
        <v>30.12</v>
      </c>
      <c r="G26" s="1">
        <v>56.7</v>
      </c>
      <c r="H26" s="1">
        <v>49.7</v>
      </c>
      <c r="I26" s="1">
        <v>46.6</v>
      </c>
      <c r="J26" s="6">
        <v>61</v>
      </c>
      <c r="K26" s="5">
        <v>0.36799999999999999</v>
      </c>
      <c r="L26" s="6">
        <v>0.33600000000000002</v>
      </c>
      <c r="M26" s="1">
        <v>80</v>
      </c>
      <c r="N26" s="6">
        <v>94</v>
      </c>
      <c r="O26" s="1" t="s">
        <v>43</v>
      </c>
      <c r="P26" s="1">
        <v>1</v>
      </c>
      <c r="Q26" s="1" t="s">
        <v>29</v>
      </c>
      <c r="R26" s="6">
        <v>1</v>
      </c>
      <c r="S26" s="1">
        <v>7</v>
      </c>
      <c r="T26" s="1">
        <v>0</v>
      </c>
      <c r="U26" s="12" t="s">
        <v>22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30.07</v>
      </c>
      <c r="F27" s="6">
        <v>30.05</v>
      </c>
      <c r="G27" s="1">
        <v>58.2</v>
      </c>
      <c r="H27" s="1">
        <v>51.9</v>
      </c>
      <c r="I27" s="1">
        <v>44.4</v>
      </c>
      <c r="J27" s="6">
        <v>66</v>
      </c>
      <c r="K27" s="5">
        <v>0.36399999999999999</v>
      </c>
      <c r="L27" s="6">
        <v>0.33400000000000002</v>
      </c>
      <c r="M27" s="1">
        <v>75</v>
      </c>
      <c r="N27" s="6">
        <v>86</v>
      </c>
      <c r="O27" s="1" t="s">
        <v>25</v>
      </c>
      <c r="P27" s="1">
        <v>2</v>
      </c>
      <c r="Q27" s="1" t="s">
        <v>29</v>
      </c>
      <c r="R27" s="6">
        <v>2</v>
      </c>
      <c r="S27" s="1">
        <v>8</v>
      </c>
      <c r="T27" s="1">
        <v>2</v>
      </c>
      <c r="U27" s="12" t="s">
        <v>22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29.95</v>
      </c>
      <c r="F28" s="6">
        <v>29.87</v>
      </c>
      <c r="G28" s="1">
        <v>59.7</v>
      </c>
      <c r="H28" s="1">
        <v>54.7</v>
      </c>
      <c r="I28" s="1">
        <v>46.8</v>
      </c>
      <c r="J28" s="6">
        <v>64.2</v>
      </c>
      <c r="K28" s="5">
        <v>0.34499999999999997</v>
      </c>
      <c r="L28" s="6">
        <v>0.33</v>
      </c>
      <c r="M28" s="1">
        <v>68</v>
      </c>
      <c r="N28" s="6">
        <v>78</v>
      </c>
      <c r="O28" s="1" t="s">
        <v>25</v>
      </c>
      <c r="P28" s="1">
        <v>4</v>
      </c>
      <c r="Q28" s="1" t="s">
        <v>25</v>
      </c>
      <c r="R28" s="6">
        <v>3</v>
      </c>
      <c r="S28" s="1">
        <v>2</v>
      </c>
      <c r="T28" s="1">
        <v>10</v>
      </c>
      <c r="U28" s="12" t="s">
        <v>22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29.69</v>
      </c>
      <c r="F29" s="6">
        <v>29.71</v>
      </c>
      <c r="G29" s="1">
        <v>58.7</v>
      </c>
      <c r="H29" s="1">
        <v>46.2</v>
      </c>
      <c r="I29" s="1">
        <v>42.5</v>
      </c>
      <c r="J29" s="6">
        <v>64.5</v>
      </c>
      <c r="K29" s="5">
        <v>0.40799999999999997</v>
      </c>
      <c r="L29" s="6">
        <v>0.30299999999999999</v>
      </c>
      <c r="M29" s="1">
        <v>83</v>
      </c>
      <c r="N29" s="6">
        <v>98</v>
      </c>
      <c r="O29" s="1" t="s">
        <v>29</v>
      </c>
      <c r="P29" s="1">
        <v>3</v>
      </c>
      <c r="Q29" s="1" t="s">
        <v>26</v>
      </c>
      <c r="R29" s="6">
        <v>1</v>
      </c>
      <c r="S29" s="1">
        <v>10</v>
      </c>
      <c r="T29" s="1">
        <v>10</v>
      </c>
      <c r="U29" s="12">
        <v>0.73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29.78</v>
      </c>
      <c r="F30" s="6">
        <v>29.89</v>
      </c>
      <c r="G30" s="1">
        <v>53.7</v>
      </c>
      <c r="H30" s="1">
        <v>44.7</v>
      </c>
      <c r="I30" s="1">
        <v>40</v>
      </c>
      <c r="J30" s="6">
        <v>58.2</v>
      </c>
      <c r="K30" s="5">
        <v>0.27600000000000002</v>
      </c>
      <c r="L30" s="6">
        <v>0.251</v>
      </c>
      <c r="M30" s="1">
        <v>68</v>
      </c>
      <c r="N30" s="6">
        <v>85</v>
      </c>
      <c r="O30" s="1" t="s">
        <v>26</v>
      </c>
      <c r="P30" s="1">
        <v>1</v>
      </c>
      <c r="Q30" s="1" t="s">
        <v>26</v>
      </c>
      <c r="R30" s="6">
        <v>1</v>
      </c>
      <c r="S30" s="1">
        <v>7</v>
      </c>
      <c r="T30" s="1">
        <v>0</v>
      </c>
      <c r="U30" s="12">
        <v>0.01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29.92</v>
      </c>
      <c r="F31" s="6">
        <v>29.74</v>
      </c>
      <c r="G31" s="1">
        <v>53.7</v>
      </c>
      <c r="H31" s="1">
        <v>53.7</v>
      </c>
      <c r="I31" s="1">
        <v>37</v>
      </c>
      <c r="J31" s="6">
        <v>62</v>
      </c>
      <c r="K31" s="5">
        <v>0.26800000000000002</v>
      </c>
      <c r="L31" s="6">
        <v>0.314</v>
      </c>
      <c r="M31" s="1">
        <v>66</v>
      </c>
      <c r="N31" s="6">
        <v>76</v>
      </c>
      <c r="O31" s="1" t="s">
        <v>29</v>
      </c>
      <c r="P31" s="1">
        <v>1</v>
      </c>
      <c r="Q31" s="1" t="s">
        <v>25</v>
      </c>
      <c r="R31" s="6">
        <v>4</v>
      </c>
      <c r="S31" s="1">
        <v>7</v>
      </c>
      <c r="T31" s="1">
        <v>7</v>
      </c>
      <c r="U31" s="12">
        <v>0.23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29.64</v>
      </c>
      <c r="F32" s="6">
        <v>29.65</v>
      </c>
      <c r="G32" s="1">
        <v>59.3</v>
      </c>
      <c r="H32" s="1">
        <v>52.7</v>
      </c>
      <c r="I32" s="1">
        <v>50</v>
      </c>
      <c r="J32" s="6">
        <v>65.5</v>
      </c>
      <c r="K32" s="5">
        <v>0.41199999999999998</v>
      </c>
      <c r="L32" s="6">
        <v>0.34899999999999998</v>
      </c>
      <c r="M32" s="1">
        <v>82</v>
      </c>
      <c r="N32" s="6">
        <v>87</v>
      </c>
      <c r="O32" s="1" t="s">
        <v>25</v>
      </c>
      <c r="P32" s="1">
        <v>4</v>
      </c>
      <c r="Q32" s="1" t="s">
        <v>29</v>
      </c>
      <c r="R32" s="6">
        <v>2</v>
      </c>
      <c r="S32" s="1">
        <v>10</v>
      </c>
      <c r="T32" s="1">
        <v>10</v>
      </c>
      <c r="U32" s="12">
        <v>0.1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29.72</v>
      </c>
      <c r="F33" s="6">
        <v>29.95</v>
      </c>
      <c r="G33" s="1">
        <v>54.4</v>
      </c>
      <c r="H33" s="1">
        <v>48.1</v>
      </c>
      <c r="I33" s="1">
        <v>45</v>
      </c>
      <c r="J33" s="6">
        <v>60.2</v>
      </c>
      <c r="K33" s="5">
        <v>0.28299999999999997</v>
      </c>
      <c r="L33" s="6">
        <v>0.26600000000000001</v>
      </c>
      <c r="M33" s="1">
        <v>67</v>
      </c>
      <c r="N33" s="6">
        <v>79</v>
      </c>
      <c r="O33" s="1" t="s">
        <v>25</v>
      </c>
      <c r="P33" s="1">
        <v>2</v>
      </c>
      <c r="Q33" s="1" t="s">
        <v>43</v>
      </c>
      <c r="R33" s="6">
        <v>2</v>
      </c>
      <c r="S33" s="1">
        <v>8</v>
      </c>
      <c r="T33" s="1">
        <v>10</v>
      </c>
      <c r="U33" s="12">
        <v>0.02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30.13</v>
      </c>
      <c r="F34" s="6">
        <v>30.09</v>
      </c>
      <c r="G34" s="1">
        <v>53.7</v>
      </c>
      <c r="H34" s="1">
        <v>52.7</v>
      </c>
      <c r="I34" s="1">
        <v>42</v>
      </c>
      <c r="J34" s="6">
        <v>62.6</v>
      </c>
      <c r="K34" s="5">
        <v>0.25900000000000001</v>
      </c>
      <c r="L34" s="6">
        <v>0.33100000000000002</v>
      </c>
      <c r="M34" s="1">
        <v>63</v>
      </c>
      <c r="N34" s="6">
        <v>83</v>
      </c>
      <c r="O34" s="1" t="s">
        <v>29</v>
      </c>
      <c r="P34" s="1">
        <v>1</v>
      </c>
      <c r="Q34" s="1" t="s">
        <v>25</v>
      </c>
      <c r="R34" s="6">
        <v>1</v>
      </c>
      <c r="S34" s="1">
        <v>7</v>
      </c>
      <c r="T34" s="1">
        <v>10</v>
      </c>
      <c r="U34" s="12">
        <v>0.13</v>
      </c>
    </row>
    <row r="35" spans="1:21" s="1" customFormat="1">
      <c r="A35" s="5" t="s">
        <v>77</v>
      </c>
      <c r="B35" s="1">
        <v>1883</v>
      </c>
      <c r="C35" s="1" t="s">
        <v>20</v>
      </c>
      <c r="D35" s="8">
        <v>31</v>
      </c>
      <c r="E35" s="7">
        <v>29.96</v>
      </c>
      <c r="F35" s="9">
        <v>29.86</v>
      </c>
      <c r="G35" s="8">
        <v>54.5</v>
      </c>
      <c r="H35" s="8">
        <v>55.2</v>
      </c>
      <c r="I35" s="8">
        <v>51.6</v>
      </c>
      <c r="J35" s="9">
        <v>61</v>
      </c>
      <c r="K35" s="7">
        <v>0.379</v>
      </c>
      <c r="L35" s="9">
        <v>0.28100000000000003</v>
      </c>
      <c r="M35" s="8">
        <v>89</v>
      </c>
      <c r="N35" s="9">
        <v>88</v>
      </c>
      <c r="O35" s="8" t="s">
        <v>29</v>
      </c>
      <c r="P35" s="8">
        <v>3</v>
      </c>
      <c r="Q35" s="8" t="s">
        <v>39</v>
      </c>
      <c r="R35" s="9">
        <v>2</v>
      </c>
      <c r="S35" s="8">
        <v>10</v>
      </c>
      <c r="T35" s="8">
        <v>10</v>
      </c>
      <c r="U35" s="13">
        <v>7.0000000000000007E-2</v>
      </c>
    </row>
    <row r="36" spans="1:21" s="1" customFormat="1">
      <c r="A36" s="14"/>
      <c r="B36" s="15"/>
      <c r="C36" s="15"/>
      <c r="D36" s="16" t="s">
        <v>30</v>
      </c>
      <c r="E36" s="15">
        <v>29.956</v>
      </c>
      <c r="F36" s="16">
        <v>29.960999999999999</v>
      </c>
      <c r="G36" s="14">
        <v>52.3</v>
      </c>
      <c r="H36" s="15">
        <v>47.5</v>
      </c>
      <c r="I36" s="15">
        <v>41.4</v>
      </c>
      <c r="J36" s="16">
        <v>58.6</v>
      </c>
      <c r="K36" s="15">
        <v>0.29599999999999999</v>
      </c>
      <c r="L36" s="15">
        <v>0.28599999999999998</v>
      </c>
      <c r="M36" s="14">
        <v>74.8</v>
      </c>
      <c r="N36" s="16">
        <v>87.2</v>
      </c>
      <c r="O36" s="14" t="s">
        <v>22</v>
      </c>
      <c r="P36" s="15">
        <v>2.1</v>
      </c>
      <c r="Q36" s="15" t="s">
        <v>22</v>
      </c>
      <c r="R36" s="16">
        <v>1.6</v>
      </c>
      <c r="S36" s="14">
        <v>7.4</v>
      </c>
      <c r="T36" s="16">
        <v>6.4</v>
      </c>
      <c r="U36" s="17">
        <v>2.33</v>
      </c>
    </row>
    <row r="37" spans="1:21">
      <c r="E37">
        <f>SUM(E5:E35)/31</f>
        <v>29.95548387096775</v>
      </c>
      <c r="F37">
        <f>SUM(F5:F35)/31</f>
        <v>29.962258064516135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8"/>
  <sheetViews>
    <sheetView topLeftCell="H31" workbookViewId="0">
      <selection activeCell="H40" sqref="H40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29.96</v>
      </c>
      <c r="F5" s="6">
        <v>30.05</v>
      </c>
      <c r="G5" s="1">
        <v>49</v>
      </c>
      <c r="H5" s="1">
        <v>45.3</v>
      </c>
      <c r="I5" s="1">
        <v>40.6</v>
      </c>
      <c r="J5" s="6">
        <v>60.4</v>
      </c>
      <c r="K5" s="5">
        <v>0.26200000000000001</v>
      </c>
      <c r="L5" s="6">
        <v>0.23699999999999999</v>
      </c>
      <c r="M5" s="1">
        <v>75</v>
      </c>
      <c r="N5" s="6">
        <v>79</v>
      </c>
      <c r="O5" s="1" t="s">
        <v>24</v>
      </c>
      <c r="P5" s="1">
        <v>3</v>
      </c>
      <c r="Q5" s="1" t="s">
        <v>33</v>
      </c>
      <c r="R5" s="6">
        <v>0</v>
      </c>
      <c r="S5" s="1">
        <v>6</v>
      </c>
      <c r="T5" s="1">
        <v>0</v>
      </c>
      <c r="U5" s="12" t="s">
        <v>22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30.09</v>
      </c>
      <c r="F6" s="6">
        <v>30.09</v>
      </c>
      <c r="G6" s="1">
        <v>48.4</v>
      </c>
      <c r="H6" s="1">
        <v>45.3</v>
      </c>
      <c r="I6" s="1">
        <v>30.3</v>
      </c>
      <c r="J6" s="6">
        <v>56.1</v>
      </c>
      <c r="K6" s="5">
        <v>0.27700000000000002</v>
      </c>
      <c r="L6" s="6">
        <v>0.24399999999999999</v>
      </c>
      <c r="M6" s="1">
        <v>82</v>
      </c>
      <c r="N6" s="6">
        <v>81</v>
      </c>
      <c r="O6" s="1" t="s">
        <v>24</v>
      </c>
      <c r="P6" s="1">
        <v>2</v>
      </c>
      <c r="Q6" s="1" t="s">
        <v>24</v>
      </c>
      <c r="R6" s="6">
        <v>3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29.96</v>
      </c>
      <c r="F7" s="6">
        <v>30.03</v>
      </c>
      <c r="G7" s="1">
        <v>50.3</v>
      </c>
      <c r="H7" s="1">
        <v>43.3</v>
      </c>
      <c r="I7" s="1">
        <v>42</v>
      </c>
      <c r="J7" s="6">
        <v>53.9</v>
      </c>
      <c r="K7" s="5">
        <v>0.26600000000000001</v>
      </c>
      <c r="L7" s="6">
        <v>0.20699999999999999</v>
      </c>
      <c r="M7" s="1">
        <v>73</v>
      </c>
      <c r="N7" s="6">
        <v>74</v>
      </c>
      <c r="O7" s="1" t="s">
        <v>34</v>
      </c>
      <c r="P7" s="1">
        <v>3</v>
      </c>
      <c r="Q7" s="1" t="s">
        <v>24</v>
      </c>
      <c r="R7" s="6">
        <v>2</v>
      </c>
      <c r="S7" s="1">
        <v>10</v>
      </c>
      <c r="T7" s="1">
        <v>6</v>
      </c>
      <c r="U7" s="12" t="s">
        <v>22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30.04</v>
      </c>
      <c r="F8" s="6">
        <v>30.04</v>
      </c>
      <c r="G8" s="1">
        <v>46.1</v>
      </c>
      <c r="H8" s="1">
        <v>46.3</v>
      </c>
      <c r="I8" s="1">
        <v>37.6</v>
      </c>
      <c r="J8" s="6">
        <v>53.4</v>
      </c>
      <c r="K8" s="5">
        <v>0.217</v>
      </c>
      <c r="L8" s="6">
        <v>0.255</v>
      </c>
      <c r="M8" s="1">
        <v>79</v>
      </c>
      <c r="N8" s="6">
        <v>82</v>
      </c>
      <c r="O8" s="1" t="s">
        <v>33</v>
      </c>
      <c r="P8" s="1">
        <v>0</v>
      </c>
      <c r="Q8" s="1" t="s">
        <v>33</v>
      </c>
      <c r="R8" s="6">
        <v>0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30.04</v>
      </c>
      <c r="F9" s="6">
        <v>30.06</v>
      </c>
      <c r="G9" s="1">
        <v>46.1</v>
      </c>
      <c r="H9" s="1">
        <v>45.2</v>
      </c>
      <c r="I9" s="1">
        <v>39.5</v>
      </c>
      <c r="J9" s="6">
        <v>52.6</v>
      </c>
      <c r="K9" s="5">
        <v>0.29099999999999998</v>
      </c>
      <c r="L9" s="6">
        <v>0.25800000000000001</v>
      </c>
      <c r="M9" s="1">
        <v>93</v>
      </c>
      <c r="N9" s="6">
        <v>86</v>
      </c>
      <c r="O9" s="1" t="s">
        <v>33</v>
      </c>
      <c r="P9" s="1">
        <v>0</v>
      </c>
      <c r="Q9" s="1" t="s">
        <v>24</v>
      </c>
      <c r="R9" s="6">
        <v>2</v>
      </c>
      <c r="S9" s="1">
        <v>9</v>
      </c>
      <c r="T9" s="1">
        <v>10</v>
      </c>
      <c r="U9" s="12">
        <v>1.9E-2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30.09</v>
      </c>
      <c r="F10" s="6">
        <v>30.02</v>
      </c>
      <c r="G10" s="1">
        <v>50.9</v>
      </c>
      <c r="H10" s="1">
        <v>43.7</v>
      </c>
      <c r="I10" s="1">
        <v>32.799999999999997</v>
      </c>
      <c r="J10" s="6">
        <v>56.4</v>
      </c>
      <c r="K10" s="5">
        <v>0.26400000000000001</v>
      </c>
      <c r="L10" s="6">
        <v>0.22900000000000001</v>
      </c>
      <c r="M10" s="1">
        <v>71</v>
      </c>
      <c r="N10" s="6">
        <v>80</v>
      </c>
      <c r="O10" s="1" t="s">
        <v>42</v>
      </c>
      <c r="P10" s="1">
        <v>2</v>
      </c>
      <c r="Q10" s="1" t="s">
        <v>33</v>
      </c>
      <c r="R10" s="6">
        <v>0</v>
      </c>
      <c r="S10" s="1">
        <v>5</v>
      </c>
      <c r="T10" s="1">
        <v>0</v>
      </c>
      <c r="U10" s="12">
        <v>1E-3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29.86</v>
      </c>
      <c r="F11" s="6">
        <v>29.77</v>
      </c>
      <c r="G11" s="1">
        <v>52.1</v>
      </c>
      <c r="H11" s="1">
        <v>42.9</v>
      </c>
      <c r="I11" s="1">
        <v>40.6</v>
      </c>
      <c r="J11" s="6">
        <v>56.2</v>
      </c>
      <c r="K11" s="5">
        <v>0.26500000000000001</v>
      </c>
      <c r="L11" s="6">
        <v>0.222</v>
      </c>
      <c r="M11" s="1">
        <v>69</v>
      </c>
      <c r="N11" s="6">
        <v>81</v>
      </c>
      <c r="O11" s="1" t="s">
        <v>28</v>
      </c>
      <c r="P11" s="1">
        <v>3</v>
      </c>
      <c r="Q11" s="1" t="s">
        <v>28</v>
      </c>
      <c r="R11" s="6">
        <v>4</v>
      </c>
      <c r="S11" s="1">
        <v>8</v>
      </c>
      <c r="T11" s="1">
        <v>8</v>
      </c>
      <c r="U11" s="12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29.77</v>
      </c>
      <c r="F12" s="6">
        <v>29.72</v>
      </c>
      <c r="G12" s="1">
        <v>39.700000000000003</v>
      </c>
      <c r="H12" s="1">
        <v>38.299999999999997</v>
      </c>
      <c r="I12" s="1">
        <v>36.6</v>
      </c>
      <c r="J12" s="6">
        <v>44.1</v>
      </c>
      <c r="K12" s="5">
        <v>0.216</v>
      </c>
      <c r="L12" s="6">
        <v>0.21099999999999999</v>
      </c>
      <c r="M12" s="1">
        <v>88</v>
      </c>
      <c r="N12" s="6">
        <v>92</v>
      </c>
      <c r="O12" s="1" t="s">
        <v>35</v>
      </c>
      <c r="P12" s="1">
        <v>3</v>
      </c>
      <c r="Q12" s="1" t="s">
        <v>28</v>
      </c>
      <c r="R12" s="6">
        <v>2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29.74</v>
      </c>
      <c r="F13" s="6">
        <v>29.86</v>
      </c>
      <c r="G13" s="1">
        <v>43.3</v>
      </c>
      <c r="H13" s="1">
        <v>39.200000000000003</v>
      </c>
      <c r="I13" s="1">
        <v>35.6</v>
      </c>
      <c r="J13" s="6">
        <v>48.2</v>
      </c>
      <c r="K13" s="5">
        <v>0.183</v>
      </c>
      <c r="L13" s="6">
        <v>0.184</v>
      </c>
      <c r="M13" s="1">
        <v>75</v>
      </c>
      <c r="N13" s="6">
        <v>77</v>
      </c>
      <c r="O13" s="1" t="s">
        <v>35</v>
      </c>
      <c r="P13" s="1">
        <v>3</v>
      </c>
      <c r="Q13" s="1" t="s">
        <v>28</v>
      </c>
      <c r="R13" s="6">
        <v>2</v>
      </c>
      <c r="S13" s="1">
        <v>10</v>
      </c>
      <c r="T13" s="1">
        <v>8</v>
      </c>
      <c r="U13" s="12" t="s">
        <v>22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29.81</v>
      </c>
      <c r="F14" s="6">
        <v>29.84</v>
      </c>
      <c r="G14" s="1">
        <v>45.1</v>
      </c>
      <c r="H14" s="1">
        <v>41.5</v>
      </c>
      <c r="I14" s="1">
        <v>35.200000000000003</v>
      </c>
      <c r="J14" s="6">
        <v>47.6</v>
      </c>
      <c r="K14" s="5">
        <v>0.223</v>
      </c>
      <c r="L14" s="6">
        <v>0.19900000000000001</v>
      </c>
      <c r="M14" s="1">
        <v>75</v>
      </c>
      <c r="N14" s="6">
        <v>77</v>
      </c>
      <c r="O14" s="1" t="s">
        <v>28</v>
      </c>
      <c r="P14" s="1">
        <v>2</v>
      </c>
      <c r="Q14" s="1" t="s">
        <v>27</v>
      </c>
      <c r="R14" s="6">
        <v>3</v>
      </c>
      <c r="S14" s="1">
        <v>10</v>
      </c>
      <c r="T14" s="1">
        <v>8</v>
      </c>
      <c r="U14" s="12">
        <v>0.10299999999999999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29.81</v>
      </c>
      <c r="F15" s="6">
        <v>29.59</v>
      </c>
      <c r="G15" s="1">
        <v>46.1</v>
      </c>
      <c r="H15" s="1">
        <v>45.2</v>
      </c>
      <c r="I15" s="1">
        <v>33.4</v>
      </c>
      <c r="J15" s="6">
        <v>53.8</v>
      </c>
      <c r="K15" s="5">
        <v>0.215</v>
      </c>
      <c r="L15" s="6">
        <v>0.25800000000000001</v>
      </c>
      <c r="M15" s="1">
        <v>69</v>
      </c>
      <c r="N15" s="6">
        <v>86</v>
      </c>
      <c r="O15" s="1" t="s">
        <v>27</v>
      </c>
      <c r="P15" s="1">
        <v>3</v>
      </c>
      <c r="Q15" s="1" t="s">
        <v>38</v>
      </c>
      <c r="R15" s="6">
        <v>4</v>
      </c>
      <c r="S15" s="1">
        <v>5</v>
      </c>
      <c r="T15" s="1">
        <v>10</v>
      </c>
      <c r="U15" s="12">
        <v>7.6999999999999999E-2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29.47</v>
      </c>
      <c r="F16" s="6">
        <v>29.46</v>
      </c>
      <c r="G16" s="1">
        <v>52.6</v>
      </c>
      <c r="H16" s="1">
        <v>50.8</v>
      </c>
      <c r="I16" s="1">
        <v>42.3</v>
      </c>
      <c r="J16" s="6">
        <v>58.4</v>
      </c>
      <c r="K16" s="5">
        <v>0.26500000000000001</v>
      </c>
      <c r="L16" s="6">
        <v>0.32500000000000001</v>
      </c>
      <c r="M16" s="1">
        <v>67</v>
      </c>
      <c r="N16" s="6">
        <v>87</v>
      </c>
      <c r="O16" s="1" t="s">
        <v>25</v>
      </c>
      <c r="P16" s="1">
        <v>3</v>
      </c>
      <c r="Q16" s="1" t="s">
        <v>39</v>
      </c>
      <c r="R16" s="6">
        <v>4</v>
      </c>
      <c r="S16" s="1">
        <v>10</v>
      </c>
      <c r="T16" s="1">
        <v>10</v>
      </c>
      <c r="U16" s="12">
        <v>0.02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29.41</v>
      </c>
      <c r="F17" s="6">
        <v>29.52</v>
      </c>
      <c r="G17" s="1">
        <v>54.9</v>
      </c>
      <c r="H17" s="1">
        <v>50.3</v>
      </c>
      <c r="I17" s="1">
        <v>45</v>
      </c>
      <c r="J17" s="6">
        <v>59.2</v>
      </c>
      <c r="K17" s="5">
        <v>0.33300000000000002</v>
      </c>
      <c r="L17" s="6">
        <v>0.28799999999999998</v>
      </c>
      <c r="M17" s="1">
        <v>78</v>
      </c>
      <c r="N17" s="6">
        <v>79</v>
      </c>
      <c r="O17" s="1" t="s">
        <v>25</v>
      </c>
      <c r="P17" s="1">
        <v>5</v>
      </c>
      <c r="Q17" s="1" t="s">
        <v>25</v>
      </c>
      <c r="R17" s="6">
        <v>4</v>
      </c>
      <c r="S17" s="1">
        <v>10</v>
      </c>
      <c r="T17" s="1">
        <v>10</v>
      </c>
      <c r="U17" s="12">
        <v>0.02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29.65</v>
      </c>
      <c r="F18" s="6">
        <v>29.86</v>
      </c>
      <c r="G18" s="1">
        <v>55.1</v>
      </c>
      <c r="H18" s="1">
        <v>45.1</v>
      </c>
      <c r="I18" s="1">
        <v>45.1</v>
      </c>
      <c r="J18" s="6">
        <v>56.4</v>
      </c>
      <c r="K18" s="5">
        <v>0.30299999999999999</v>
      </c>
      <c r="L18" s="6">
        <v>0.27200000000000002</v>
      </c>
      <c r="M18" s="1">
        <v>70</v>
      </c>
      <c r="N18" s="6">
        <v>90</v>
      </c>
      <c r="O18" s="1" t="s">
        <v>29</v>
      </c>
      <c r="P18" s="1">
        <v>3</v>
      </c>
      <c r="Q18" s="1" t="s">
        <v>33</v>
      </c>
      <c r="R18" s="6">
        <v>0</v>
      </c>
      <c r="S18" s="1">
        <v>10</v>
      </c>
      <c r="T18" s="1">
        <v>3</v>
      </c>
      <c r="U18" s="12">
        <v>1.7999999999999999E-2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30.09</v>
      </c>
      <c r="F19" s="6">
        <v>30.3</v>
      </c>
      <c r="G19" s="1">
        <v>53.5</v>
      </c>
      <c r="H19" s="1">
        <v>45.2</v>
      </c>
      <c r="I19" s="1">
        <v>36.5</v>
      </c>
      <c r="J19" s="6">
        <v>58.2</v>
      </c>
      <c r="K19" s="5">
        <v>0.26600000000000001</v>
      </c>
      <c r="L19" s="6">
        <v>0.26400000000000001</v>
      </c>
      <c r="M19" s="1">
        <v>66</v>
      </c>
      <c r="N19" s="6">
        <v>88</v>
      </c>
      <c r="O19" s="1" t="s">
        <v>27</v>
      </c>
      <c r="P19" s="1">
        <v>2</v>
      </c>
      <c r="Q19" s="1" t="s">
        <v>33</v>
      </c>
      <c r="R19" s="6">
        <v>0</v>
      </c>
      <c r="S19" s="1">
        <v>4</v>
      </c>
      <c r="T19" s="1">
        <v>0</v>
      </c>
      <c r="U19" s="12" t="s">
        <v>22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30.43</v>
      </c>
      <c r="F20" s="6">
        <v>30.44</v>
      </c>
      <c r="G20" s="1">
        <v>54.9</v>
      </c>
      <c r="H20" s="1">
        <v>48.4</v>
      </c>
      <c r="I20" s="1">
        <v>30.8</v>
      </c>
      <c r="J20" s="6">
        <v>61.7</v>
      </c>
      <c r="K20" s="5">
        <v>0.30499999999999999</v>
      </c>
      <c r="L20" s="6">
        <v>0.28599999999999998</v>
      </c>
      <c r="M20" s="1">
        <v>71</v>
      </c>
      <c r="N20" s="6">
        <v>84</v>
      </c>
      <c r="O20" s="1" t="s">
        <v>33</v>
      </c>
      <c r="P20" s="1">
        <v>0</v>
      </c>
      <c r="Q20" s="1" t="s">
        <v>33</v>
      </c>
      <c r="R20" s="6">
        <v>0</v>
      </c>
      <c r="S20" s="1">
        <v>8</v>
      </c>
      <c r="T20" s="1">
        <v>0</v>
      </c>
      <c r="U20" s="12" t="s">
        <v>22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 t="s">
        <v>22</v>
      </c>
      <c r="F21" s="6" t="s">
        <v>22</v>
      </c>
      <c r="G21" s="1" t="s">
        <v>22</v>
      </c>
      <c r="H21" s="1" t="s">
        <v>22</v>
      </c>
      <c r="I21" s="1" t="s">
        <v>22</v>
      </c>
      <c r="J21" s="6" t="s">
        <v>22</v>
      </c>
      <c r="K21" s="5" t="s">
        <v>22</v>
      </c>
      <c r="L21" s="6" t="s">
        <v>22</v>
      </c>
      <c r="M21" s="1" t="s">
        <v>22</v>
      </c>
      <c r="N21" s="6" t="s">
        <v>22</v>
      </c>
      <c r="O21" s="1" t="s">
        <v>22</v>
      </c>
      <c r="P21" s="1" t="s">
        <v>22</v>
      </c>
      <c r="Q21" s="1" t="s">
        <v>22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 t="s">
        <v>22</v>
      </c>
      <c r="F22" s="6" t="s">
        <v>22</v>
      </c>
      <c r="G22" s="1" t="s">
        <v>22</v>
      </c>
      <c r="H22" s="1" t="s">
        <v>22</v>
      </c>
      <c r="I22" s="1" t="s">
        <v>22</v>
      </c>
      <c r="J22" s="6" t="s">
        <v>22</v>
      </c>
      <c r="K22" s="5" t="s">
        <v>22</v>
      </c>
      <c r="L22" s="6" t="s">
        <v>22</v>
      </c>
      <c r="M22" s="1" t="s">
        <v>22</v>
      </c>
      <c r="N22" s="6" t="s">
        <v>22</v>
      </c>
      <c r="O22" s="1" t="s">
        <v>22</v>
      </c>
      <c r="P22" s="1" t="s">
        <v>22</v>
      </c>
      <c r="Q22" s="1" t="s">
        <v>22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 t="s">
        <v>22</v>
      </c>
      <c r="F23" s="6" t="s">
        <v>22</v>
      </c>
      <c r="G23" s="1" t="s">
        <v>22</v>
      </c>
      <c r="H23" s="1" t="s">
        <v>22</v>
      </c>
      <c r="I23" s="1" t="s">
        <v>22</v>
      </c>
      <c r="J23" s="6">
        <v>60.3</v>
      </c>
      <c r="K23" s="5" t="s">
        <v>22</v>
      </c>
      <c r="L23" s="6" t="s">
        <v>22</v>
      </c>
      <c r="M23" s="1" t="s">
        <v>22</v>
      </c>
      <c r="N23" s="6" t="s">
        <v>22</v>
      </c>
      <c r="O23" s="1" t="s">
        <v>22</v>
      </c>
      <c r="P23" s="1" t="s">
        <v>22</v>
      </c>
      <c r="Q23" s="1" t="s">
        <v>22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 t="s">
        <v>22</v>
      </c>
      <c r="F24" s="6">
        <v>30.09</v>
      </c>
      <c r="G24" s="1">
        <v>53.9</v>
      </c>
      <c r="H24" s="1">
        <v>50.9</v>
      </c>
      <c r="I24" s="1">
        <v>47.5</v>
      </c>
      <c r="J24" s="6">
        <v>55.5</v>
      </c>
      <c r="K24" s="5">
        <v>0.35299999999999998</v>
      </c>
      <c r="L24" s="6" t="s">
        <v>22</v>
      </c>
      <c r="M24" s="1">
        <v>85</v>
      </c>
      <c r="N24" s="6" t="s">
        <v>22</v>
      </c>
      <c r="O24" s="1" t="s">
        <v>28</v>
      </c>
      <c r="P24" s="1">
        <v>1</v>
      </c>
      <c r="Q24" s="1" t="s">
        <v>33</v>
      </c>
      <c r="R24" s="6">
        <v>0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30.13</v>
      </c>
      <c r="F25" s="6">
        <v>30.13</v>
      </c>
      <c r="G25" s="1">
        <v>52.7</v>
      </c>
      <c r="H25" s="1">
        <v>47.2</v>
      </c>
      <c r="I25" s="1">
        <v>47.2</v>
      </c>
      <c r="J25" s="6">
        <v>59.4</v>
      </c>
      <c r="K25" s="5">
        <v>0.36699999999999999</v>
      </c>
      <c r="L25" s="6" t="s">
        <v>22</v>
      </c>
      <c r="M25" s="1">
        <v>92</v>
      </c>
      <c r="N25" s="6" t="s">
        <v>22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1</v>
      </c>
      <c r="U25" s="12">
        <v>0.16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30.1</v>
      </c>
      <c r="F26" s="6">
        <v>30.14</v>
      </c>
      <c r="G26" s="1">
        <v>54.3</v>
      </c>
      <c r="H26" s="1">
        <v>51.9</v>
      </c>
      <c r="I26" s="1">
        <v>35.1</v>
      </c>
      <c r="J26" s="6">
        <v>59.3</v>
      </c>
      <c r="K26" s="5">
        <v>0.29499999999999998</v>
      </c>
      <c r="L26" s="6">
        <v>0.34599999999999997</v>
      </c>
      <c r="M26" s="1">
        <v>70</v>
      </c>
      <c r="N26" s="6">
        <v>90</v>
      </c>
      <c r="O26" s="1" t="s">
        <v>33</v>
      </c>
      <c r="P26" s="1">
        <v>0</v>
      </c>
      <c r="Q26" s="1" t="s">
        <v>33</v>
      </c>
      <c r="R26" s="6">
        <v>0</v>
      </c>
      <c r="S26" s="1">
        <v>7</v>
      </c>
      <c r="T26" s="1">
        <v>9</v>
      </c>
      <c r="U26" s="12" t="s">
        <v>22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30.1</v>
      </c>
      <c r="F27" s="6">
        <v>30</v>
      </c>
      <c r="G27" s="1">
        <v>58.7</v>
      </c>
      <c r="H27" s="1">
        <v>49.7</v>
      </c>
      <c r="I27" s="1">
        <v>41.2</v>
      </c>
      <c r="J27" s="6">
        <v>65.099999999999994</v>
      </c>
      <c r="K27" s="5">
        <v>0.318</v>
      </c>
      <c r="L27" s="6">
        <v>0.27500000000000002</v>
      </c>
      <c r="M27" s="1">
        <v>65</v>
      </c>
      <c r="N27" s="6">
        <v>78</v>
      </c>
      <c r="O27" s="1" t="s">
        <v>39</v>
      </c>
      <c r="P27" s="1">
        <v>1</v>
      </c>
      <c r="Q27" s="1" t="s">
        <v>33</v>
      </c>
      <c r="R27" s="6">
        <v>0</v>
      </c>
      <c r="S27" s="1">
        <v>8</v>
      </c>
      <c r="T27" s="1">
        <v>2</v>
      </c>
      <c r="U27" s="12" t="s">
        <v>22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29.97</v>
      </c>
      <c r="F28" s="6">
        <v>29.86</v>
      </c>
      <c r="G28" s="1">
        <v>54.9</v>
      </c>
      <c r="H28" s="1">
        <v>53.5</v>
      </c>
      <c r="I28" s="1">
        <v>38.1</v>
      </c>
      <c r="J28" s="6">
        <v>58.2</v>
      </c>
      <c r="K28" s="5">
        <v>0.32100000000000001</v>
      </c>
      <c r="L28" s="6">
        <v>0.32100000000000001</v>
      </c>
      <c r="M28" s="1">
        <v>75</v>
      </c>
      <c r="N28" s="6">
        <v>78</v>
      </c>
      <c r="O28" s="1" t="s">
        <v>39</v>
      </c>
      <c r="P28" s="1">
        <v>2</v>
      </c>
      <c r="Q28" s="1" t="s">
        <v>39</v>
      </c>
      <c r="R28" s="6">
        <v>3</v>
      </c>
      <c r="S28" s="1">
        <v>10</v>
      </c>
      <c r="T28" s="1">
        <v>10</v>
      </c>
      <c r="U28" s="12">
        <v>7.0000000000000007E-2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29.68</v>
      </c>
      <c r="F29" s="6">
        <v>29.71</v>
      </c>
      <c r="G29" s="1">
        <v>53.4</v>
      </c>
      <c r="H29" s="1">
        <v>47.2</v>
      </c>
      <c r="I29" s="1">
        <v>45.6</v>
      </c>
      <c r="J29" s="6">
        <v>58.3</v>
      </c>
      <c r="K29" s="5">
        <v>0.39400000000000002</v>
      </c>
      <c r="L29" s="6">
        <v>0.28000000000000003</v>
      </c>
      <c r="M29" s="1">
        <v>96</v>
      </c>
      <c r="N29" s="6">
        <v>87</v>
      </c>
      <c r="O29" s="1" t="s">
        <v>39</v>
      </c>
      <c r="P29" s="1">
        <v>2</v>
      </c>
      <c r="Q29" s="1" t="s">
        <v>33</v>
      </c>
      <c r="R29" s="6">
        <v>0</v>
      </c>
      <c r="S29" s="1">
        <v>10</v>
      </c>
      <c r="T29" s="1">
        <v>10</v>
      </c>
      <c r="U29" s="12">
        <v>0.16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29.79</v>
      </c>
      <c r="F30" s="6">
        <v>29.89</v>
      </c>
      <c r="G30" s="1">
        <v>47.7</v>
      </c>
      <c r="H30" s="1">
        <v>42.5</v>
      </c>
      <c r="I30" s="1">
        <v>35.700000000000003</v>
      </c>
      <c r="J30" s="6">
        <v>52.7</v>
      </c>
      <c r="K30" s="5">
        <v>0.248</v>
      </c>
      <c r="L30" s="6">
        <v>0.23799999999999999</v>
      </c>
      <c r="M30" s="1">
        <v>76</v>
      </c>
      <c r="N30" s="6">
        <v>87</v>
      </c>
      <c r="O30" s="1" t="s">
        <v>28</v>
      </c>
      <c r="P30" s="1">
        <v>2</v>
      </c>
      <c r="Q30" s="1" t="s">
        <v>33</v>
      </c>
      <c r="R30" s="6">
        <v>0</v>
      </c>
      <c r="S30" s="1">
        <v>5</v>
      </c>
      <c r="T30" s="1">
        <v>4</v>
      </c>
      <c r="U30" s="12" t="s">
        <v>22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29.88</v>
      </c>
      <c r="F31" s="6">
        <v>29.71</v>
      </c>
      <c r="G31" s="1">
        <v>52.6</v>
      </c>
      <c r="H31" s="1">
        <v>51.9</v>
      </c>
      <c r="I31" s="1">
        <v>30.1</v>
      </c>
      <c r="J31" s="6">
        <v>56.6</v>
      </c>
      <c r="K31" s="5">
        <v>0.28299999999999997</v>
      </c>
      <c r="L31" s="6">
        <v>0.35699999999999998</v>
      </c>
      <c r="M31" s="1">
        <v>72</v>
      </c>
      <c r="N31" s="6">
        <v>93</v>
      </c>
      <c r="O31" s="1" t="s">
        <v>29</v>
      </c>
      <c r="P31" s="1">
        <v>3</v>
      </c>
      <c r="Q31" s="1" t="s">
        <v>29</v>
      </c>
      <c r="R31" s="6">
        <v>5</v>
      </c>
      <c r="S31" s="1">
        <v>9</v>
      </c>
      <c r="T31" s="1">
        <v>10</v>
      </c>
      <c r="U31" s="12">
        <v>0.21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29.65</v>
      </c>
      <c r="F32" s="6">
        <v>29.65</v>
      </c>
      <c r="G32" s="1">
        <v>57</v>
      </c>
      <c r="H32" s="1">
        <v>51.5</v>
      </c>
      <c r="I32" s="1">
        <v>50.8</v>
      </c>
      <c r="J32" s="6">
        <v>59.3</v>
      </c>
      <c r="K32" s="5">
        <v>0.41399999999999998</v>
      </c>
      <c r="L32" s="6">
        <v>0.34399999999999997</v>
      </c>
      <c r="M32" s="1">
        <v>89</v>
      </c>
      <c r="N32" s="6">
        <v>91</v>
      </c>
      <c r="O32" s="1" t="s">
        <v>39</v>
      </c>
      <c r="P32" s="1">
        <v>3</v>
      </c>
      <c r="Q32" s="1" t="s">
        <v>29</v>
      </c>
      <c r="R32" s="6">
        <v>1</v>
      </c>
      <c r="S32" s="1">
        <v>10</v>
      </c>
      <c r="T32" s="1">
        <v>10</v>
      </c>
      <c r="U32" s="12">
        <v>0.03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29.75</v>
      </c>
      <c r="F33" s="6">
        <v>29.99</v>
      </c>
      <c r="G33" s="1">
        <v>51.3</v>
      </c>
      <c r="H33" s="1">
        <v>46.8</v>
      </c>
      <c r="I33" s="1">
        <v>46.1</v>
      </c>
      <c r="J33" s="6">
        <v>57.6</v>
      </c>
      <c r="K33" s="5">
        <v>0.27100000000000002</v>
      </c>
      <c r="L33" s="6">
        <v>0.27900000000000003</v>
      </c>
      <c r="M33" s="1">
        <v>72</v>
      </c>
      <c r="N33" s="6">
        <v>88</v>
      </c>
      <c r="O33" s="1" t="s">
        <v>39</v>
      </c>
      <c r="P33" s="1">
        <v>2</v>
      </c>
      <c r="Q33" s="1" t="s">
        <v>38</v>
      </c>
      <c r="R33" s="6">
        <v>1</v>
      </c>
      <c r="S33" s="1">
        <v>8</v>
      </c>
      <c r="T33" s="1">
        <v>8</v>
      </c>
      <c r="U33" s="12">
        <v>0.02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30.09</v>
      </c>
      <c r="F34" s="6">
        <v>30.03</v>
      </c>
      <c r="G34" s="1">
        <v>54.1</v>
      </c>
      <c r="H34" s="1">
        <v>53</v>
      </c>
      <c r="I34" s="1">
        <v>38.200000000000003</v>
      </c>
      <c r="J34" s="6">
        <v>60</v>
      </c>
      <c r="K34" s="5">
        <v>0.28299999999999997</v>
      </c>
      <c r="L34" s="6">
        <v>0.374</v>
      </c>
      <c r="M34" s="1">
        <v>68</v>
      </c>
      <c r="N34" s="6">
        <v>93</v>
      </c>
      <c r="O34" s="1" t="s">
        <v>29</v>
      </c>
      <c r="P34" s="1">
        <v>1</v>
      </c>
      <c r="Q34" s="1" t="s">
        <v>38</v>
      </c>
      <c r="R34" s="6">
        <v>2</v>
      </c>
      <c r="S34" s="1">
        <v>7</v>
      </c>
      <c r="T34" s="1">
        <v>10</v>
      </c>
      <c r="U34" s="12">
        <v>7.0000000000000007E-2</v>
      </c>
    </row>
    <row r="35" spans="1:21" s="1" customFormat="1">
      <c r="A35" s="5" t="s">
        <v>78</v>
      </c>
      <c r="B35" s="1">
        <v>1883</v>
      </c>
      <c r="C35" s="1" t="s">
        <v>20</v>
      </c>
      <c r="D35" s="8">
        <v>31</v>
      </c>
      <c r="E35" s="7">
        <v>29.93</v>
      </c>
      <c r="F35" s="9">
        <v>29.81</v>
      </c>
      <c r="G35" s="8">
        <v>53.4</v>
      </c>
      <c r="H35" s="8">
        <v>52.8</v>
      </c>
      <c r="I35" s="8">
        <v>50.1</v>
      </c>
      <c r="J35" s="9">
        <v>60.3</v>
      </c>
      <c r="K35" s="7">
        <v>0.371</v>
      </c>
      <c r="L35" s="9">
        <v>0.377</v>
      </c>
      <c r="M35" s="8">
        <v>91</v>
      </c>
      <c r="N35" s="9">
        <v>94</v>
      </c>
      <c r="O35" s="8" t="s">
        <v>29</v>
      </c>
      <c r="P35" s="8">
        <v>2</v>
      </c>
      <c r="Q35" s="8" t="s">
        <v>39</v>
      </c>
      <c r="R35" s="9">
        <v>1</v>
      </c>
      <c r="S35" s="8">
        <v>10</v>
      </c>
      <c r="T35" s="8">
        <v>9</v>
      </c>
      <c r="U35" s="13">
        <v>0.51</v>
      </c>
    </row>
    <row r="36" spans="1:21" s="1" customFormat="1">
      <c r="A36" s="14"/>
      <c r="B36" s="15"/>
      <c r="C36" s="15"/>
      <c r="D36" s="16" t="s">
        <v>30</v>
      </c>
      <c r="E36" s="15" t="s">
        <v>22</v>
      </c>
      <c r="F36" s="16" t="s">
        <v>22</v>
      </c>
      <c r="G36" s="14" t="s">
        <v>22</v>
      </c>
      <c r="H36" s="15" t="s">
        <v>22</v>
      </c>
      <c r="I36" s="15" t="s">
        <v>22</v>
      </c>
      <c r="J36" s="16" t="s">
        <v>22</v>
      </c>
      <c r="K36" s="15" t="s">
        <v>22</v>
      </c>
      <c r="L36" s="15" t="s">
        <v>22</v>
      </c>
      <c r="M36" s="14" t="s">
        <v>22</v>
      </c>
      <c r="N36" s="16" t="s">
        <v>22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1.508</v>
      </c>
    </row>
    <row r="38" spans="1:21">
      <c r="G38" t="s">
        <v>79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A26" workbookViewId="0">
      <selection activeCell="A37" sqref="A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29.91</v>
      </c>
      <c r="F5" s="6">
        <v>30.01</v>
      </c>
      <c r="G5" s="1">
        <v>47.8</v>
      </c>
      <c r="H5" s="1">
        <v>48.2</v>
      </c>
      <c r="I5" s="1">
        <v>45.1</v>
      </c>
      <c r="J5" s="6">
        <v>54.5</v>
      </c>
      <c r="K5" s="5">
        <v>0.247</v>
      </c>
      <c r="L5" s="6">
        <v>0.26500000000000001</v>
      </c>
      <c r="M5" s="1">
        <v>75</v>
      </c>
      <c r="N5" s="6">
        <v>79</v>
      </c>
      <c r="O5" s="1" t="s">
        <v>42</v>
      </c>
      <c r="P5" s="1">
        <v>5</v>
      </c>
      <c r="Q5" s="1" t="s">
        <v>35</v>
      </c>
      <c r="R5" s="6">
        <v>3</v>
      </c>
      <c r="S5" s="1">
        <v>9</v>
      </c>
      <c r="T5" s="1">
        <v>4</v>
      </c>
      <c r="U5" s="12" t="s">
        <v>22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30.08</v>
      </c>
      <c r="F6" s="6">
        <v>30.04</v>
      </c>
      <c r="G6" s="1">
        <v>45.4</v>
      </c>
      <c r="H6" s="1">
        <v>46.4</v>
      </c>
      <c r="I6" s="1">
        <v>44.1</v>
      </c>
      <c r="J6" s="6">
        <v>49.2</v>
      </c>
      <c r="K6" s="5">
        <v>0.215</v>
      </c>
      <c r="L6" s="6">
        <v>0.221</v>
      </c>
      <c r="M6" s="1">
        <v>71</v>
      </c>
      <c r="N6" s="6">
        <v>71</v>
      </c>
      <c r="O6" s="1" t="s">
        <v>54</v>
      </c>
      <c r="P6" s="1">
        <v>3</v>
      </c>
      <c r="Q6" s="1" t="s">
        <v>23</v>
      </c>
      <c r="R6" s="6">
        <v>2</v>
      </c>
      <c r="S6" s="1">
        <v>10</v>
      </c>
      <c r="T6" s="1">
        <v>9</v>
      </c>
      <c r="U6" s="12" t="s">
        <v>22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29.93</v>
      </c>
      <c r="F7" s="6">
        <v>29.98</v>
      </c>
      <c r="G7" s="1">
        <v>47.4</v>
      </c>
      <c r="H7" s="1">
        <v>43.7</v>
      </c>
      <c r="I7" s="1">
        <v>43</v>
      </c>
      <c r="J7" s="6">
        <v>49.6</v>
      </c>
      <c r="K7" s="5">
        <v>0.251</v>
      </c>
      <c r="L7" s="6">
        <v>0.19600000000000001</v>
      </c>
      <c r="M7" s="1">
        <v>78</v>
      </c>
      <c r="N7" s="6">
        <v>69</v>
      </c>
      <c r="O7" s="1" t="s">
        <v>28</v>
      </c>
      <c r="P7" s="1">
        <v>2</v>
      </c>
      <c r="Q7" s="1" t="s">
        <v>24</v>
      </c>
      <c r="R7" s="6">
        <v>3</v>
      </c>
      <c r="S7" s="1">
        <v>9</v>
      </c>
      <c r="T7" s="1">
        <v>7</v>
      </c>
      <c r="U7" s="12">
        <v>4.2999999999999997E-2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30.02</v>
      </c>
      <c r="F8" s="6">
        <v>30.03</v>
      </c>
      <c r="G8" s="1">
        <v>46.8</v>
      </c>
      <c r="H8" s="1">
        <v>44.7</v>
      </c>
      <c r="I8" s="1">
        <v>41.2</v>
      </c>
      <c r="J8" s="6">
        <v>48.6</v>
      </c>
      <c r="K8" s="5">
        <v>0.19</v>
      </c>
      <c r="L8" s="6">
        <v>0.214</v>
      </c>
      <c r="M8" s="1">
        <v>59</v>
      </c>
      <c r="N8" s="6">
        <v>72</v>
      </c>
      <c r="O8" s="1" t="s">
        <v>24</v>
      </c>
      <c r="P8" s="1">
        <v>3</v>
      </c>
      <c r="Q8" s="1" t="s">
        <v>24</v>
      </c>
      <c r="R8" s="6">
        <v>3</v>
      </c>
      <c r="S8" s="1">
        <v>6</v>
      </c>
      <c r="T8" s="1">
        <v>9</v>
      </c>
      <c r="U8" s="12">
        <v>0.04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30.05</v>
      </c>
      <c r="F9" s="6">
        <v>30.05</v>
      </c>
      <c r="G9" s="1">
        <v>43.4</v>
      </c>
      <c r="H9" s="1">
        <v>43.7</v>
      </c>
      <c r="I9" s="1">
        <v>38.1</v>
      </c>
      <c r="J9" s="6">
        <v>48.2</v>
      </c>
      <c r="K9" s="5">
        <v>0.193</v>
      </c>
      <c r="L9" s="6">
        <v>0.22900000000000001</v>
      </c>
      <c r="M9" s="1">
        <v>69</v>
      </c>
      <c r="N9" s="6">
        <v>80</v>
      </c>
      <c r="O9" s="1" t="s">
        <v>24</v>
      </c>
      <c r="P9" s="1">
        <v>2</v>
      </c>
      <c r="Q9" s="1" t="s">
        <v>35</v>
      </c>
      <c r="R9" s="6">
        <v>2</v>
      </c>
      <c r="S9" s="1">
        <v>8</v>
      </c>
      <c r="T9" s="1">
        <v>2</v>
      </c>
      <c r="U9" s="12" t="s">
        <v>22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30.07</v>
      </c>
      <c r="F10" s="6">
        <v>30</v>
      </c>
      <c r="G10" s="1">
        <v>45.3</v>
      </c>
      <c r="H10" s="1">
        <v>48.9</v>
      </c>
      <c r="I10" s="1">
        <v>41.9</v>
      </c>
      <c r="J10" s="6">
        <v>50.7</v>
      </c>
      <c r="K10" s="5">
        <v>0.23300000000000001</v>
      </c>
      <c r="L10" s="6">
        <v>0.22800000000000001</v>
      </c>
      <c r="M10" s="1">
        <v>77</v>
      </c>
      <c r="N10" s="6">
        <v>66</v>
      </c>
      <c r="O10" s="1" t="s">
        <v>24</v>
      </c>
      <c r="P10" s="1">
        <v>3</v>
      </c>
      <c r="Q10" s="1" t="s">
        <v>24</v>
      </c>
      <c r="R10" s="6">
        <v>2</v>
      </c>
      <c r="S10" s="1">
        <v>10</v>
      </c>
      <c r="T10" s="1">
        <v>5</v>
      </c>
      <c r="U10" s="12" t="s">
        <v>22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29.83</v>
      </c>
      <c r="F11" s="6">
        <v>29.66</v>
      </c>
      <c r="G11" s="1">
        <v>48.8</v>
      </c>
      <c r="H11" s="1">
        <v>49.3</v>
      </c>
      <c r="I11" s="1">
        <v>42.9</v>
      </c>
      <c r="J11" s="6">
        <v>54.6</v>
      </c>
      <c r="K11" s="5">
        <v>0.25900000000000001</v>
      </c>
      <c r="L11" s="6">
        <v>0.25700000000000001</v>
      </c>
      <c r="M11" s="1">
        <v>75</v>
      </c>
      <c r="N11" s="6">
        <v>73</v>
      </c>
      <c r="O11" s="1" t="s">
        <v>24</v>
      </c>
      <c r="P11" s="1">
        <v>3</v>
      </c>
      <c r="Q11" s="1" t="s">
        <v>35</v>
      </c>
      <c r="R11" s="6">
        <v>2</v>
      </c>
      <c r="S11" s="1">
        <v>2</v>
      </c>
      <c r="T11" s="1">
        <v>10</v>
      </c>
      <c r="U11" s="12">
        <v>0.35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29.64</v>
      </c>
      <c r="F12" s="6">
        <v>29.55</v>
      </c>
      <c r="G12" s="1">
        <v>42.3</v>
      </c>
      <c r="H12" s="1">
        <v>41.8</v>
      </c>
      <c r="I12" s="1">
        <v>36.9</v>
      </c>
      <c r="J12" s="6">
        <v>49.5</v>
      </c>
      <c r="K12" s="5">
        <v>0.246</v>
      </c>
      <c r="L12" s="6">
        <v>0.24</v>
      </c>
      <c r="M12" s="1">
        <v>92</v>
      </c>
      <c r="N12" s="6">
        <v>91</v>
      </c>
      <c r="O12" s="1" t="s">
        <v>54</v>
      </c>
      <c r="P12" s="1">
        <v>3</v>
      </c>
      <c r="Q12" s="1" t="s">
        <v>35</v>
      </c>
      <c r="R12" s="6">
        <v>7</v>
      </c>
      <c r="S12" s="1">
        <v>10</v>
      </c>
      <c r="T12" s="1">
        <v>10</v>
      </c>
      <c r="U12" s="12">
        <v>1.387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29.64</v>
      </c>
      <c r="F13" s="6">
        <v>29.78</v>
      </c>
      <c r="G13" s="1">
        <v>40</v>
      </c>
      <c r="H13" s="1">
        <v>42.8</v>
      </c>
      <c r="I13" s="1">
        <v>38.9</v>
      </c>
      <c r="J13" s="6">
        <v>46.1</v>
      </c>
      <c r="K13" s="5">
        <v>0.217</v>
      </c>
      <c r="L13" s="6">
        <v>0.21199999999999999</v>
      </c>
      <c r="M13" s="1">
        <v>88</v>
      </c>
      <c r="N13" s="6">
        <v>77</v>
      </c>
      <c r="O13" s="1" t="s">
        <v>24</v>
      </c>
      <c r="P13" s="1">
        <v>4</v>
      </c>
      <c r="Q13" s="1" t="s">
        <v>35</v>
      </c>
      <c r="R13" s="6">
        <v>2</v>
      </c>
      <c r="S13" s="1">
        <v>10</v>
      </c>
      <c r="T13" s="1">
        <v>10</v>
      </c>
      <c r="U13" s="12">
        <v>0.06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29.76</v>
      </c>
      <c r="F14" s="6">
        <v>29.81</v>
      </c>
      <c r="G14" s="1">
        <v>44.1</v>
      </c>
      <c r="H14" s="1">
        <v>41.8</v>
      </c>
      <c r="I14" s="1">
        <v>36.4</v>
      </c>
      <c r="J14" s="6">
        <v>48.5</v>
      </c>
      <c r="K14" s="5">
        <v>0.20599999999999999</v>
      </c>
      <c r="L14" s="6">
        <v>0.20599999999999999</v>
      </c>
      <c r="M14" s="1">
        <v>71</v>
      </c>
      <c r="N14" s="6">
        <v>79</v>
      </c>
      <c r="O14" s="1" t="s">
        <v>63</v>
      </c>
      <c r="P14" s="1">
        <v>4</v>
      </c>
      <c r="Q14" s="1" t="s">
        <v>36</v>
      </c>
      <c r="R14" s="6">
        <v>2</v>
      </c>
      <c r="S14" s="1">
        <v>5</v>
      </c>
      <c r="T14" s="1">
        <v>4</v>
      </c>
      <c r="U14" s="12">
        <v>0.01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29.84</v>
      </c>
      <c r="F15" s="6">
        <v>29.71</v>
      </c>
      <c r="G15" s="1">
        <v>45.9</v>
      </c>
      <c r="H15" s="1">
        <v>45.1</v>
      </c>
      <c r="I15" s="1">
        <v>35.4</v>
      </c>
      <c r="J15" s="6">
        <v>54.5</v>
      </c>
      <c r="K15" s="5">
        <v>0.19400000000000001</v>
      </c>
      <c r="L15" s="6">
        <v>0.252</v>
      </c>
      <c r="M15" s="1">
        <v>62</v>
      </c>
      <c r="N15" s="6">
        <v>84</v>
      </c>
      <c r="O15" s="1" t="s">
        <v>58</v>
      </c>
      <c r="P15" s="1">
        <v>3</v>
      </c>
      <c r="Q15" s="1" t="s">
        <v>38</v>
      </c>
      <c r="R15" s="6">
        <v>4</v>
      </c>
      <c r="S15" s="1">
        <v>4</v>
      </c>
      <c r="T15" s="1">
        <v>10</v>
      </c>
      <c r="U15" s="12">
        <v>1.0999999999999999E-2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29.55</v>
      </c>
      <c r="F16" s="6">
        <v>29.59</v>
      </c>
      <c r="G16" s="1">
        <v>54.2</v>
      </c>
      <c r="H16" s="1">
        <v>55</v>
      </c>
      <c r="I16" s="1">
        <v>44.1</v>
      </c>
      <c r="J16" s="6">
        <v>60.2</v>
      </c>
      <c r="K16" s="5">
        <v>0.25800000000000001</v>
      </c>
      <c r="L16" s="6">
        <v>0.34699999999999998</v>
      </c>
      <c r="M16" s="1">
        <v>61</v>
      </c>
      <c r="N16" s="6">
        <v>80</v>
      </c>
      <c r="O16" s="1" t="s">
        <v>43</v>
      </c>
      <c r="P16" s="1">
        <v>5</v>
      </c>
      <c r="Q16" s="1" t="s">
        <v>25</v>
      </c>
      <c r="R16" s="6">
        <v>4</v>
      </c>
      <c r="S16" s="1">
        <v>3</v>
      </c>
      <c r="T16" s="1">
        <v>5</v>
      </c>
      <c r="U16" s="12" t="s">
        <v>22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29.58</v>
      </c>
      <c r="F17" s="6">
        <v>29.7</v>
      </c>
      <c r="G17" s="1">
        <v>56.9</v>
      </c>
      <c r="H17" s="1">
        <v>52</v>
      </c>
      <c r="I17" s="1">
        <v>51.1</v>
      </c>
      <c r="J17" s="6">
        <v>61.8</v>
      </c>
      <c r="K17" s="5">
        <v>0.29899999999999999</v>
      </c>
      <c r="L17" s="6">
        <v>0.26800000000000002</v>
      </c>
      <c r="M17" s="1">
        <v>65</v>
      </c>
      <c r="N17" s="6">
        <v>70</v>
      </c>
      <c r="O17" s="1" t="s">
        <v>25</v>
      </c>
      <c r="P17" s="1">
        <v>6</v>
      </c>
      <c r="Q17" s="1" t="s">
        <v>39</v>
      </c>
      <c r="R17" s="6">
        <v>1</v>
      </c>
      <c r="S17" s="1">
        <v>7</v>
      </c>
      <c r="T17" s="1">
        <v>1</v>
      </c>
      <c r="U17" s="12" t="s">
        <v>22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29.75</v>
      </c>
      <c r="F18" s="6">
        <v>29.89</v>
      </c>
      <c r="G18" s="1">
        <v>56.7</v>
      </c>
      <c r="H18" s="1">
        <v>52.5</v>
      </c>
      <c r="I18" s="1">
        <v>49</v>
      </c>
      <c r="J18" s="6">
        <v>63.9</v>
      </c>
      <c r="K18" s="5">
        <v>0.30499999999999999</v>
      </c>
      <c r="L18" s="6">
        <v>0.28899999999999998</v>
      </c>
      <c r="M18" s="1">
        <v>66</v>
      </c>
      <c r="N18" s="6">
        <v>73</v>
      </c>
      <c r="O18" s="1" t="s">
        <v>39</v>
      </c>
      <c r="P18" s="1">
        <v>3</v>
      </c>
      <c r="Q18" s="1" t="s">
        <v>25</v>
      </c>
      <c r="R18" s="6">
        <v>2</v>
      </c>
      <c r="S18" s="1">
        <v>5</v>
      </c>
      <c r="T18" s="1">
        <v>2</v>
      </c>
      <c r="U18" s="12">
        <v>0.01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30.09</v>
      </c>
      <c r="F19" s="6">
        <v>30.28</v>
      </c>
      <c r="G19" s="1">
        <v>54.8</v>
      </c>
      <c r="H19" s="1">
        <v>51.3</v>
      </c>
      <c r="I19" s="1">
        <v>45.1</v>
      </c>
      <c r="J19" s="6">
        <v>60.3</v>
      </c>
      <c r="K19" s="5">
        <v>0.316</v>
      </c>
      <c r="L19" s="6">
        <v>0.34699999999999998</v>
      </c>
      <c r="M19" s="1">
        <v>74</v>
      </c>
      <c r="N19" s="6">
        <v>92</v>
      </c>
      <c r="O19" s="1" t="s">
        <v>37</v>
      </c>
      <c r="P19" s="1">
        <v>2</v>
      </c>
      <c r="Q19" s="1" t="s">
        <v>21</v>
      </c>
      <c r="R19" s="6">
        <v>1</v>
      </c>
      <c r="S19" s="1">
        <v>5</v>
      </c>
      <c r="T19" s="1">
        <v>0</v>
      </c>
      <c r="U19" s="12">
        <v>0.03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30.42</v>
      </c>
      <c r="F20" s="6">
        <v>30.43</v>
      </c>
      <c r="G20" s="1">
        <v>56.6</v>
      </c>
      <c r="H20" s="1">
        <v>52</v>
      </c>
      <c r="I20" s="1">
        <v>43.9</v>
      </c>
      <c r="J20" s="6">
        <v>60.9</v>
      </c>
      <c r="K20" s="5">
        <v>0.35199999999999998</v>
      </c>
      <c r="L20" s="6">
        <v>0.29599999999999999</v>
      </c>
      <c r="M20" s="1">
        <v>77</v>
      </c>
      <c r="N20" s="6">
        <v>76</v>
      </c>
      <c r="O20" s="1" t="s">
        <v>42</v>
      </c>
      <c r="P20" s="1">
        <v>2</v>
      </c>
      <c r="Q20" s="1" t="s">
        <v>21</v>
      </c>
      <c r="R20" s="6">
        <v>2</v>
      </c>
      <c r="S20" s="1">
        <v>1</v>
      </c>
      <c r="T20" s="1">
        <v>2</v>
      </c>
      <c r="U20" s="12" t="s">
        <v>22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30.43</v>
      </c>
      <c r="F21" s="6">
        <v>30.44</v>
      </c>
      <c r="G21" s="1">
        <v>56.6</v>
      </c>
      <c r="H21" s="1">
        <v>52.3</v>
      </c>
      <c r="I21" s="1">
        <v>44.1</v>
      </c>
      <c r="J21" s="6">
        <v>63.7</v>
      </c>
      <c r="K21" s="5">
        <v>0.28999999999999998</v>
      </c>
      <c r="L21" s="6">
        <v>0.307</v>
      </c>
      <c r="M21" s="1">
        <v>64</v>
      </c>
      <c r="N21" s="6">
        <v>78</v>
      </c>
      <c r="O21" s="1" t="s">
        <v>33</v>
      </c>
      <c r="P21" s="1">
        <v>0</v>
      </c>
      <c r="Q21" s="1" t="s">
        <v>24</v>
      </c>
      <c r="R21" s="6">
        <v>1</v>
      </c>
      <c r="S21" s="1">
        <v>0</v>
      </c>
      <c r="T21" s="1">
        <v>8</v>
      </c>
      <c r="U21" s="12" t="s">
        <v>22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30.39</v>
      </c>
      <c r="F22" s="6">
        <v>30.21</v>
      </c>
      <c r="G22" s="1">
        <v>53</v>
      </c>
      <c r="H22" s="1">
        <v>51.9</v>
      </c>
      <c r="I22" s="1">
        <v>43.4</v>
      </c>
      <c r="J22" s="6">
        <v>63.3</v>
      </c>
      <c r="K22" s="5">
        <v>0.25900000000000001</v>
      </c>
      <c r="L22" s="6">
        <v>0.27200000000000002</v>
      </c>
      <c r="M22" s="1">
        <v>65</v>
      </c>
      <c r="N22" s="6">
        <v>70</v>
      </c>
      <c r="O22" s="1" t="s">
        <v>36</v>
      </c>
      <c r="P22" s="1">
        <v>3</v>
      </c>
      <c r="Q22" s="1" t="s">
        <v>36</v>
      </c>
      <c r="R22" s="6">
        <v>4</v>
      </c>
      <c r="S22" s="1">
        <v>5</v>
      </c>
      <c r="T22" s="1">
        <v>4</v>
      </c>
      <c r="U22" s="12" t="s">
        <v>22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30.13</v>
      </c>
      <c r="F23" s="6">
        <v>30.08</v>
      </c>
      <c r="G23" s="1">
        <v>52.2</v>
      </c>
      <c r="H23" s="1">
        <v>53.4</v>
      </c>
      <c r="I23" s="1">
        <v>49.1</v>
      </c>
      <c r="J23" s="6">
        <v>55.9</v>
      </c>
      <c r="K23" s="5">
        <v>0.318</v>
      </c>
      <c r="L23" s="6">
        <v>0.34699999999999998</v>
      </c>
      <c r="M23" s="1">
        <v>81</v>
      </c>
      <c r="N23" s="6">
        <v>85</v>
      </c>
      <c r="O23" s="1" t="s">
        <v>36</v>
      </c>
      <c r="P23" s="1">
        <v>3</v>
      </c>
      <c r="Q23" s="1" t="s">
        <v>58</v>
      </c>
      <c r="R23" s="6">
        <v>2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30.07</v>
      </c>
      <c r="F24" s="6">
        <v>30.1</v>
      </c>
      <c r="G24" s="1">
        <v>52.5</v>
      </c>
      <c r="H24" s="1">
        <v>55.2</v>
      </c>
      <c r="I24" s="1">
        <v>49.7</v>
      </c>
      <c r="J24" s="6">
        <v>59.6</v>
      </c>
      <c r="K24" s="5">
        <v>0.33600000000000002</v>
      </c>
      <c r="L24" s="6">
        <v>0.37</v>
      </c>
      <c r="M24" s="1">
        <v>85</v>
      </c>
      <c r="N24" s="6">
        <v>85</v>
      </c>
      <c r="O24" s="1" t="s">
        <v>58</v>
      </c>
      <c r="P24" s="1">
        <v>2</v>
      </c>
      <c r="Q24" s="1" t="s">
        <v>21</v>
      </c>
      <c r="R24" s="6">
        <v>1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30.14</v>
      </c>
      <c r="F25" s="6">
        <v>30.12</v>
      </c>
      <c r="G25" s="1">
        <v>61.6</v>
      </c>
      <c r="H25" s="1">
        <v>58</v>
      </c>
      <c r="I25" s="1">
        <v>53.9</v>
      </c>
      <c r="J25" s="6">
        <v>66.7</v>
      </c>
      <c r="K25" s="5">
        <v>0.379</v>
      </c>
      <c r="L25" s="6">
        <v>0.36699999999999999</v>
      </c>
      <c r="M25" s="1">
        <v>70</v>
      </c>
      <c r="N25" s="6">
        <v>76</v>
      </c>
      <c r="O25" s="1" t="s">
        <v>37</v>
      </c>
      <c r="P25" s="1">
        <v>1</v>
      </c>
      <c r="Q25" s="1" t="s">
        <v>43</v>
      </c>
      <c r="R25" s="6">
        <v>1</v>
      </c>
      <c r="S25" s="1">
        <v>6</v>
      </c>
      <c r="T25" s="1">
        <v>0</v>
      </c>
      <c r="U25" s="12" t="s">
        <v>22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30.13</v>
      </c>
      <c r="F26" s="6">
        <v>30.12</v>
      </c>
      <c r="G26" s="1">
        <v>59.7</v>
      </c>
      <c r="H26" s="1">
        <v>58</v>
      </c>
      <c r="I26" s="1">
        <v>51.4</v>
      </c>
      <c r="J26" s="6">
        <v>67.400000000000006</v>
      </c>
      <c r="K26" s="5">
        <v>0.32900000000000001</v>
      </c>
      <c r="L26" s="6">
        <v>0.40400000000000003</v>
      </c>
      <c r="M26" s="1">
        <v>64</v>
      </c>
      <c r="N26" s="6">
        <v>83</v>
      </c>
      <c r="O26" s="1" t="s">
        <v>26</v>
      </c>
      <c r="P26" s="1">
        <v>3</v>
      </c>
      <c r="Q26" s="1" t="s">
        <v>33</v>
      </c>
      <c r="R26" s="6">
        <v>0</v>
      </c>
      <c r="S26" s="1">
        <v>1</v>
      </c>
      <c r="T26" s="1">
        <v>7</v>
      </c>
      <c r="U26" s="12" t="s">
        <v>22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30.15</v>
      </c>
      <c r="F27" s="6">
        <v>30.1</v>
      </c>
      <c r="G27" s="1">
        <v>57.2</v>
      </c>
      <c r="H27" s="1">
        <v>57.7</v>
      </c>
      <c r="I27" s="1">
        <v>48.7</v>
      </c>
      <c r="J27" s="6">
        <v>68.8</v>
      </c>
      <c r="K27" s="5">
        <v>0.33</v>
      </c>
      <c r="L27" s="6">
        <v>0.314</v>
      </c>
      <c r="M27" s="1">
        <v>70</v>
      </c>
      <c r="N27" s="6">
        <v>66</v>
      </c>
      <c r="O27" s="1" t="s">
        <v>57</v>
      </c>
      <c r="P27" s="1">
        <v>3</v>
      </c>
      <c r="Q27" s="1" t="s">
        <v>25</v>
      </c>
      <c r="R27" s="6">
        <v>1</v>
      </c>
      <c r="S27" s="1">
        <v>6</v>
      </c>
      <c r="T27" s="1">
        <v>0</v>
      </c>
      <c r="U27" s="12" t="s">
        <v>22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30.06</v>
      </c>
      <c r="F28" s="6">
        <v>29.97</v>
      </c>
      <c r="G28" s="1">
        <v>57.2</v>
      </c>
      <c r="H28" s="1">
        <v>56.9</v>
      </c>
      <c r="I28" s="1">
        <v>50.7</v>
      </c>
      <c r="J28" s="6">
        <v>61.7</v>
      </c>
      <c r="K28" s="5">
        <v>0.35399999999999998</v>
      </c>
      <c r="L28" s="6">
        <v>0.33800000000000002</v>
      </c>
      <c r="M28" s="1">
        <v>75</v>
      </c>
      <c r="N28" s="6">
        <v>72</v>
      </c>
      <c r="O28" s="1" t="s">
        <v>43</v>
      </c>
      <c r="P28" s="1">
        <v>3</v>
      </c>
      <c r="Q28" s="1" t="s">
        <v>25</v>
      </c>
      <c r="R28" s="6">
        <v>3</v>
      </c>
      <c r="S28" s="1">
        <v>9</v>
      </c>
      <c r="T28" s="1">
        <v>6</v>
      </c>
      <c r="U28" s="12" t="s">
        <v>22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29.82</v>
      </c>
      <c r="F29" s="6">
        <v>29.71</v>
      </c>
      <c r="G29" s="1">
        <v>59</v>
      </c>
      <c r="H29" s="1">
        <v>53</v>
      </c>
      <c r="I29" s="1">
        <v>53</v>
      </c>
      <c r="J29" s="6">
        <v>61.6</v>
      </c>
      <c r="K29" s="5">
        <v>0.35199999999999998</v>
      </c>
      <c r="L29" s="6">
        <v>0.35799999999999998</v>
      </c>
      <c r="M29" s="1">
        <v>71</v>
      </c>
      <c r="N29" s="6">
        <v>89</v>
      </c>
      <c r="O29" s="1" t="s">
        <v>25</v>
      </c>
      <c r="P29" s="1">
        <v>5</v>
      </c>
      <c r="Q29" s="1" t="s">
        <v>25</v>
      </c>
      <c r="R29" s="6">
        <v>2</v>
      </c>
      <c r="S29" s="1">
        <v>10</v>
      </c>
      <c r="T29" s="1">
        <v>9</v>
      </c>
      <c r="U29" s="12">
        <v>3.3000000000000002E-2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29.77</v>
      </c>
      <c r="F30" s="6">
        <v>29.88</v>
      </c>
      <c r="G30" s="1">
        <v>52.5</v>
      </c>
      <c r="H30" s="1">
        <v>52</v>
      </c>
      <c r="I30" s="1">
        <v>46.4</v>
      </c>
      <c r="J30" s="6">
        <v>58.6</v>
      </c>
      <c r="K30" s="5">
        <v>0.24399999999999999</v>
      </c>
      <c r="L30" s="6">
        <v>0.22900000000000001</v>
      </c>
      <c r="M30" s="1">
        <v>62</v>
      </c>
      <c r="N30" s="6">
        <v>60</v>
      </c>
      <c r="O30" s="1" t="s">
        <v>27</v>
      </c>
      <c r="P30" s="1">
        <v>3</v>
      </c>
      <c r="Q30" s="1" t="s">
        <v>27</v>
      </c>
      <c r="R30" s="6">
        <v>2</v>
      </c>
      <c r="S30" s="1">
        <v>4</v>
      </c>
      <c r="T30" s="1">
        <v>6</v>
      </c>
      <c r="U30" s="12" t="s">
        <v>22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29.96</v>
      </c>
      <c r="F31" s="6">
        <v>29.89</v>
      </c>
      <c r="G31" s="1">
        <v>54.8</v>
      </c>
      <c r="H31" s="1">
        <v>54.5</v>
      </c>
      <c r="I31" s="1">
        <v>41.3</v>
      </c>
      <c r="J31" s="6">
        <v>62.6</v>
      </c>
      <c r="K31" s="5">
        <v>0.27600000000000002</v>
      </c>
      <c r="L31" s="6">
        <v>0.30199999999999999</v>
      </c>
      <c r="M31" s="1">
        <v>65</v>
      </c>
      <c r="N31" s="6">
        <v>71</v>
      </c>
      <c r="O31" s="1" t="s">
        <v>61</v>
      </c>
      <c r="P31" s="1">
        <v>3</v>
      </c>
      <c r="Q31" s="1" t="s">
        <v>39</v>
      </c>
      <c r="R31" s="6">
        <v>4</v>
      </c>
      <c r="S31" s="1">
        <v>6</v>
      </c>
      <c r="T31" s="1">
        <v>10</v>
      </c>
      <c r="U31" s="12" t="s">
        <v>22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29.77</v>
      </c>
      <c r="F32" s="6">
        <v>29.75</v>
      </c>
      <c r="G32" s="1">
        <v>60.2</v>
      </c>
      <c r="H32" s="1">
        <v>57.1</v>
      </c>
      <c r="I32" s="1">
        <v>54.1</v>
      </c>
      <c r="J32" s="6">
        <v>64</v>
      </c>
      <c r="K32" s="5">
        <v>0.40400000000000003</v>
      </c>
      <c r="L32" s="6">
        <v>0.42399999999999999</v>
      </c>
      <c r="M32" s="1">
        <v>77</v>
      </c>
      <c r="N32" s="6">
        <v>90</v>
      </c>
      <c r="O32" s="1" t="s">
        <v>25</v>
      </c>
      <c r="P32" s="1">
        <v>5</v>
      </c>
      <c r="Q32" s="1" t="s">
        <v>39</v>
      </c>
      <c r="R32" s="6">
        <v>2</v>
      </c>
      <c r="S32" s="1">
        <v>8</v>
      </c>
      <c r="T32" s="1">
        <v>8</v>
      </c>
      <c r="U32" s="12">
        <v>2.5999999999999999E-2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29.85</v>
      </c>
      <c r="F33" s="6">
        <v>30.04</v>
      </c>
      <c r="G33" s="1">
        <v>56.2</v>
      </c>
      <c r="H33" s="1">
        <v>51.8</v>
      </c>
      <c r="I33" s="1">
        <v>49.1</v>
      </c>
      <c r="J33" s="6">
        <v>58.7</v>
      </c>
      <c r="K33" s="5">
        <v>0.28899999999999998</v>
      </c>
      <c r="L33" s="6">
        <v>0.28899999999999998</v>
      </c>
      <c r="M33" s="1">
        <v>64</v>
      </c>
      <c r="N33" s="6">
        <v>75</v>
      </c>
      <c r="O33" s="1" t="s">
        <v>43</v>
      </c>
      <c r="P33" s="1">
        <v>4</v>
      </c>
      <c r="Q33" s="1" t="s">
        <v>36</v>
      </c>
      <c r="R33" s="6">
        <v>3</v>
      </c>
      <c r="S33" s="1">
        <v>4</v>
      </c>
      <c r="T33" s="1">
        <v>2</v>
      </c>
      <c r="U33" s="12">
        <v>1.0999999999999999E-2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30.16</v>
      </c>
      <c r="F34" s="6">
        <v>30.11</v>
      </c>
      <c r="G34" s="1">
        <v>57</v>
      </c>
      <c r="H34" s="1">
        <v>54.2</v>
      </c>
      <c r="I34" s="1">
        <v>45.8</v>
      </c>
      <c r="J34" s="6">
        <v>61.3</v>
      </c>
      <c r="K34" s="5">
        <v>0.26100000000000001</v>
      </c>
      <c r="L34" s="6">
        <v>0.35799999999999998</v>
      </c>
      <c r="M34" s="1">
        <v>57</v>
      </c>
      <c r="N34" s="6">
        <v>85</v>
      </c>
      <c r="O34" s="1" t="s">
        <v>43</v>
      </c>
      <c r="P34" s="1">
        <v>3</v>
      </c>
      <c r="Q34" s="1" t="s">
        <v>59</v>
      </c>
      <c r="R34" s="6">
        <v>3</v>
      </c>
      <c r="S34" s="1">
        <v>3</v>
      </c>
      <c r="T34" s="1">
        <v>10</v>
      </c>
      <c r="U34" s="12">
        <v>1.2E-2</v>
      </c>
    </row>
    <row r="35" spans="1:21" s="1" customFormat="1">
      <c r="A35" s="5" t="s">
        <v>80</v>
      </c>
      <c r="B35" s="1">
        <v>1883</v>
      </c>
      <c r="C35" s="1" t="s">
        <v>20</v>
      </c>
      <c r="D35" s="8">
        <v>31</v>
      </c>
      <c r="E35" s="7">
        <v>30.03</v>
      </c>
      <c r="F35" s="9">
        <v>29.94</v>
      </c>
      <c r="G35" s="8">
        <v>56.8</v>
      </c>
      <c r="H35" s="8">
        <v>56</v>
      </c>
      <c r="I35" s="8">
        <v>53.3</v>
      </c>
      <c r="J35" s="9">
        <v>61.1</v>
      </c>
      <c r="K35" s="7">
        <v>0.36199999999999999</v>
      </c>
      <c r="L35" s="9">
        <v>0.36799999999999999</v>
      </c>
      <c r="M35" s="8">
        <v>78</v>
      </c>
      <c r="N35" s="9">
        <v>82</v>
      </c>
      <c r="O35" s="8" t="s">
        <v>39</v>
      </c>
      <c r="P35" s="8">
        <v>2</v>
      </c>
      <c r="Q35" s="8" t="s">
        <v>59</v>
      </c>
      <c r="R35" s="9">
        <v>3</v>
      </c>
      <c r="S35" s="8">
        <v>9</v>
      </c>
      <c r="T35" s="8">
        <v>5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29.969000000000001</v>
      </c>
      <c r="F36" s="16">
        <v>29.965</v>
      </c>
      <c r="G36" s="14">
        <v>52.4</v>
      </c>
      <c r="H36" s="15">
        <v>51</v>
      </c>
      <c r="I36" s="15">
        <v>45.5</v>
      </c>
      <c r="J36" s="16">
        <v>57.9</v>
      </c>
      <c r="K36" s="15">
        <v>0.28299999999999997</v>
      </c>
      <c r="L36" s="15">
        <v>0.29399999999999998</v>
      </c>
      <c r="M36" s="14">
        <v>71.2</v>
      </c>
      <c r="N36" s="16">
        <v>77.400000000000006</v>
      </c>
      <c r="O36" s="14" t="s">
        <v>22</v>
      </c>
      <c r="P36" s="15">
        <v>3.1</v>
      </c>
      <c r="Q36" s="15" t="s">
        <v>22</v>
      </c>
      <c r="R36" s="16">
        <v>2.4</v>
      </c>
      <c r="S36" s="14">
        <v>6.3</v>
      </c>
      <c r="T36" s="16">
        <v>6</v>
      </c>
      <c r="U36" s="17">
        <v>2.0230000000000001</v>
      </c>
    </row>
    <row r="37" spans="1:21">
      <c r="E37">
        <f>SUM(E5:E35)/31</f>
        <v>29.96838709677419</v>
      </c>
      <c r="F37">
        <f>SUM(F5:F35)/31</f>
        <v>29.966774193548392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N29" workbookViewId="0">
      <selection activeCell="F37" sqref="F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29.91</v>
      </c>
      <c r="F5" s="6">
        <v>30.02</v>
      </c>
      <c r="G5" s="1">
        <v>48.5</v>
      </c>
      <c r="H5" s="1">
        <v>45.3</v>
      </c>
      <c r="I5" s="1">
        <v>38.5</v>
      </c>
      <c r="J5" s="6">
        <v>58.3</v>
      </c>
      <c r="K5" s="5">
        <v>0.23899999999999999</v>
      </c>
      <c r="L5" s="6">
        <v>0.24099999999999999</v>
      </c>
      <c r="M5" s="1">
        <v>70</v>
      </c>
      <c r="N5" s="6">
        <v>80</v>
      </c>
      <c r="O5" s="1" t="s">
        <v>21</v>
      </c>
      <c r="P5" s="1">
        <v>2</v>
      </c>
      <c r="Q5" s="1" t="s">
        <v>33</v>
      </c>
      <c r="R5" s="6">
        <v>0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30.07</v>
      </c>
      <c r="F6" s="6">
        <v>30.07</v>
      </c>
      <c r="G6" s="1">
        <v>49.5</v>
      </c>
      <c r="H6" s="1">
        <v>45.5</v>
      </c>
      <c r="I6" s="1">
        <v>34.9</v>
      </c>
      <c r="J6" s="6">
        <v>51.6</v>
      </c>
      <c r="K6" s="5">
        <v>0.23</v>
      </c>
      <c r="L6" s="6">
        <v>0.221</v>
      </c>
      <c r="M6" s="1">
        <v>65</v>
      </c>
      <c r="N6" s="6">
        <v>73</v>
      </c>
      <c r="O6" s="1" t="s">
        <v>21</v>
      </c>
      <c r="P6" s="1">
        <v>0.5</v>
      </c>
      <c r="Q6" s="1" t="s">
        <v>28</v>
      </c>
      <c r="R6" s="6">
        <v>1</v>
      </c>
      <c r="S6" s="1">
        <v>7</v>
      </c>
      <c r="T6" s="1">
        <v>10</v>
      </c>
      <c r="U6" s="12" t="s">
        <v>22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29.97</v>
      </c>
      <c r="F7" s="6">
        <v>29.99</v>
      </c>
      <c r="G7" s="1">
        <v>48.5</v>
      </c>
      <c r="H7" s="1">
        <v>42.8</v>
      </c>
      <c r="I7" s="1">
        <v>41.8</v>
      </c>
      <c r="J7" s="6">
        <v>54</v>
      </c>
      <c r="K7" s="5">
        <v>0.23899999999999999</v>
      </c>
      <c r="L7" s="6">
        <v>0.20399999999999999</v>
      </c>
      <c r="M7" s="1">
        <v>70</v>
      </c>
      <c r="N7" s="6">
        <v>74</v>
      </c>
      <c r="O7" s="1" t="s">
        <v>27</v>
      </c>
      <c r="P7" s="1">
        <v>1</v>
      </c>
      <c r="Q7" s="1" t="s">
        <v>24</v>
      </c>
      <c r="R7" s="6">
        <v>0.3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30.03</v>
      </c>
      <c r="F8" s="6">
        <v>30.05</v>
      </c>
      <c r="G8" s="1">
        <v>47</v>
      </c>
      <c r="H8" s="1">
        <v>44.1</v>
      </c>
      <c r="I8" s="1">
        <v>35.9</v>
      </c>
      <c r="J8" s="6">
        <v>49.3</v>
      </c>
      <c r="K8" s="5">
        <v>0.183</v>
      </c>
      <c r="L8" s="6">
        <v>0.21199999999999999</v>
      </c>
      <c r="M8" s="1">
        <v>57</v>
      </c>
      <c r="N8" s="6">
        <v>72</v>
      </c>
      <c r="O8" s="1" t="s">
        <v>24</v>
      </c>
      <c r="P8" s="1">
        <v>0.5</v>
      </c>
      <c r="Q8" s="1" t="s">
        <v>27</v>
      </c>
      <c r="R8" s="6">
        <v>1</v>
      </c>
      <c r="S8" s="1">
        <v>8</v>
      </c>
      <c r="T8" s="1">
        <v>10</v>
      </c>
      <c r="U8" s="12" t="s">
        <v>22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30.06</v>
      </c>
      <c r="F9" s="6">
        <v>30.08</v>
      </c>
      <c r="G9" s="1">
        <v>45.6</v>
      </c>
      <c r="H9" s="1">
        <v>38.799999999999997</v>
      </c>
      <c r="I9" s="1">
        <v>38</v>
      </c>
      <c r="J9" s="6">
        <v>49.2</v>
      </c>
      <c r="K9" s="5">
        <v>0.19500000000000001</v>
      </c>
      <c r="L9" s="6">
        <v>0.21099999999999999</v>
      </c>
      <c r="M9" s="1">
        <v>64</v>
      </c>
      <c r="N9" s="6">
        <v>90</v>
      </c>
      <c r="O9" s="1" t="s">
        <v>24</v>
      </c>
      <c r="P9" s="1">
        <v>0.5</v>
      </c>
      <c r="Q9" s="1" t="s">
        <v>33</v>
      </c>
      <c r="R9" s="6">
        <v>0</v>
      </c>
      <c r="S9" s="1">
        <v>7</v>
      </c>
      <c r="T9" s="1">
        <v>0</v>
      </c>
      <c r="U9" s="12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30.06</v>
      </c>
      <c r="F10" s="6">
        <v>30</v>
      </c>
      <c r="G10" s="1">
        <v>48.3</v>
      </c>
      <c r="H10" s="1">
        <v>44.8</v>
      </c>
      <c r="I10" s="1">
        <v>29</v>
      </c>
      <c r="J10" s="6">
        <v>55.4</v>
      </c>
      <c r="K10" s="5">
        <v>0.21299999999999999</v>
      </c>
      <c r="L10" s="6">
        <v>0.23899999999999999</v>
      </c>
      <c r="M10" s="1">
        <v>63</v>
      </c>
      <c r="N10" s="6">
        <v>81</v>
      </c>
      <c r="O10" s="1" t="s">
        <v>24</v>
      </c>
      <c r="P10" s="1">
        <v>1</v>
      </c>
      <c r="Q10" s="1" t="s">
        <v>28</v>
      </c>
      <c r="R10" s="6">
        <v>1</v>
      </c>
      <c r="S10" s="1">
        <v>0</v>
      </c>
      <c r="T10" s="1">
        <v>0</v>
      </c>
      <c r="U10" s="12" t="s">
        <v>22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29.81</v>
      </c>
      <c r="F11" s="6">
        <v>29.7</v>
      </c>
      <c r="G11" s="1">
        <v>52</v>
      </c>
      <c r="H11" s="1">
        <v>46.9</v>
      </c>
      <c r="I11" s="1">
        <v>35.299999999999997</v>
      </c>
      <c r="J11" s="6">
        <v>58.4</v>
      </c>
      <c r="K11" s="5">
        <v>0.23499999999999999</v>
      </c>
      <c r="L11" s="6">
        <v>0.23200000000000001</v>
      </c>
      <c r="M11" s="1">
        <v>61</v>
      </c>
      <c r="N11" s="6">
        <v>73</v>
      </c>
      <c r="O11" s="1" t="s">
        <v>24</v>
      </c>
      <c r="P11" s="1">
        <v>1</v>
      </c>
      <c r="Q11" s="1" t="s">
        <v>35</v>
      </c>
      <c r="R11" s="6">
        <v>4.5</v>
      </c>
      <c r="S11" s="1">
        <v>0</v>
      </c>
      <c r="T11" s="1">
        <v>10</v>
      </c>
      <c r="U11" s="12">
        <v>0.182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29.68</v>
      </c>
      <c r="F12" s="6">
        <v>29.64</v>
      </c>
      <c r="G12" s="1">
        <v>39.6</v>
      </c>
      <c r="H12" s="1">
        <v>38.799999999999997</v>
      </c>
      <c r="I12" s="1">
        <v>37.200000000000003</v>
      </c>
      <c r="J12" s="6">
        <v>47.4</v>
      </c>
      <c r="K12" s="5">
        <v>0.22500000000000001</v>
      </c>
      <c r="L12" s="6">
        <v>0.19700000000000001</v>
      </c>
      <c r="M12" s="1">
        <v>93</v>
      </c>
      <c r="N12" s="6">
        <v>84</v>
      </c>
      <c r="O12" s="1" t="s">
        <v>34</v>
      </c>
      <c r="P12" s="1">
        <v>2</v>
      </c>
      <c r="Q12" s="1" t="s">
        <v>34</v>
      </c>
      <c r="R12" s="6">
        <v>5.5</v>
      </c>
      <c r="S12" s="1">
        <v>10</v>
      </c>
      <c r="T12" s="1">
        <v>10</v>
      </c>
      <c r="U12" s="12">
        <v>0.61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29.66</v>
      </c>
      <c r="F13" s="6">
        <v>29.82</v>
      </c>
      <c r="G13" s="1">
        <v>34.5</v>
      </c>
      <c r="H13" s="1">
        <v>40.799999999999997</v>
      </c>
      <c r="I13" s="1">
        <v>31.9</v>
      </c>
      <c r="J13" s="6">
        <v>47.4</v>
      </c>
      <c r="K13" s="5">
        <v>0.18</v>
      </c>
      <c r="L13" s="6">
        <v>0.188</v>
      </c>
      <c r="M13" s="1">
        <v>90</v>
      </c>
      <c r="N13" s="6">
        <v>74</v>
      </c>
      <c r="O13" s="1" t="s">
        <v>28</v>
      </c>
      <c r="P13" s="1">
        <v>3</v>
      </c>
      <c r="Q13" s="1" t="s">
        <v>34</v>
      </c>
      <c r="R13" s="6">
        <v>1.5</v>
      </c>
      <c r="S13" s="1">
        <v>10</v>
      </c>
      <c r="T13" s="1">
        <v>10</v>
      </c>
      <c r="U13" s="12">
        <v>0.53100000000000003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29.83</v>
      </c>
      <c r="F14" s="6">
        <v>29.86</v>
      </c>
      <c r="G14" s="1">
        <v>43.5</v>
      </c>
      <c r="H14" s="1">
        <v>39.1</v>
      </c>
      <c r="I14" s="1">
        <v>31.5</v>
      </c>
      <c r="J14" s="6">
        <v>51.5</v>
      </c>
      <c r="K14" s="5">
        <v>0.20599999999999999</v>
      </c>
      <c r="L14" s="6">
        <v>0.21099999999999999</v>
      </c>
      <c r="M14" s="1">
        <v>74</v>
      </c>
      <c r="N14" s="6">
        <v>89</v>
      </c>
      <c r="O14" s="1" t="s">
        <v>27</v>
      </c>
      <c r="P14" s="1">
        <v>2</v>
      </c>
      <c r="Q14" s="1" t="s">
        <v>35</v>
      </c>
      <c r="R14" s="6">
        <v>1</v>
      </c>
      <c r="S14" s="1">
        <v>10</v>
      </c>
      <c r="T14" s="1">
        <v>5</v>
      </c>
      <c r="U14" s="12">
        <v>2.4E-2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29.87</v>
      </c>
      <c r="F15" s="6">
        <v>29.62</v>
      </c>
      <c r="G15" s="1">
        <v>45.5</v>
      </c>
      <c r="H15" s="1">
        <v>44.5</v>
      </c>
      <c r="I15" s="1">
        <v>34.700000000000003</v>
      </c>
      <c r="J15" s="6">
        <v>52.5</v>
      </c>
      <c r="K15" s="5">
        <v>0.22700000000000001</v>
      </c>
      <c r="L15" s="6">
        <v>0.26400000000000001</v>
      </c>
      <c r="M15" s="1">
        <v>74</v>
      </c>
      <c r="N15" s="6">
        <v>90</v>
      </c>
      <c r="O15" s="1" t="s">
        <v>26</v>
      </c>
      <c r="P15" s="1">
        <v>1</v>
      </c>
      <c r="Q15" s="1" t="s">
        <v>38</v>
      </c>
      <c r="R15" s="6">
        <v>2</v>
      </c>
      <c r="S15" s="1">
        <v>8</v>
      </c>
      <c r="T15" s="1">
        <v>10</v>
      </c>
      <c r="U15" s="12">
        <v>0.108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29.59</v>
      </c>
      <c r="F16" s="6">
        <v>29.57</v>
      </c>
      <c r="G16" s="1">
        <v>52.5</v>
      </c>
      <c r="H16" s="1">
        <v>53.5</v>
      </c>
      <c r="I16" s="1">
        <v>43.9</v>
      </c>
      <c r="J16" s="6">
        <v>58.7</v>
      </c>
      <c r="K16" s="5">
        <v>0.248</v>
      </c>
      <c r="L16" s="6">
        <v>0.34300000000000003</v>
      </c>
      <c r="M16" s="1">
        <v>63</v>
      </c>
      <c r="N16" s="6">
        <v>84</v>
      </c>
      <c r="O16" s="1" t="s">
        <v>25</v>
      </c>
      <c r="P16" s="1">
        <v>2</v>
      </c>
      <c r="Q16" s="1" t="s">
        <v>29</v>
      </c>
      <c r="R16" s="6">
        <v>1.5</v>
      </c>
      <c r="S16" s="1">
        <v>8</v>
      </c>
      <c r="T16" s="1">
        <v>10</v>
      </c>
      <c r="U16" s="12" t="s">
        <v>22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29.51</v>
      </c>
      <c r="F17" s="6">
        <v>29.65</v>
      </c>
      <c r="G17" s="1">
        <v>56.6</v>
      </c>
      <c r="H17" s="1">
        <v>50.2</v>
      </c>
      <c r="I17" s="1">
        <v>48.1</v>
      </c>
      <c r="J17" s="6">
        <v>61.3</v>
      </c>
      <c r="K17" s="5">
        <v>0.33200000000000002</v>
      </c>
      <c r="L17" s="6">
        <v>0.28899999999999998</v>
      </c>
      <c r="M17" s="1">
        <v>72</v>
      </c>
      <c r="N17" s="6">
        <v>80</v>
      </c>
      <c r="O17" s="1" t="s">
        <v>39</v>
      </c>
      <c r="P17" s="1">
        <v>4.5</v>
      </c>
      <c r="Q17" s="1" t="s">
        <v>38</v>
      </c>
      <c r="R17" s="6">
        <v>1.5</v>
      </c>
      <c r="S17" s="1">
        <v>7</v>
      </c>
      <c r="T17" s="1">
        <v>6</v>
      </c>
      <c r="U17" s="12" t="s">
        <v>22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29.69</v>
      </c>
      <c r="F18" s="6">
        <v>29.89</v>
      </c>
      <c r="G18" s="1">
        <v>56.5</v>
      </c>
      <c r="H18" s="1">
        <v>48.2</v>
      </c>
      <c r="I18" s="1">
        <v>44.9</v>
      </c>
      <c r="J18" s="6">
        <v>60</v>
      </c>
      <c r="K18" s="5">
        <v>0.3</v>
      </c>
      <c r="L18" s="6">
        <v>0.312</v>
      </c>
      <c r="M18" s="1">
        <v>66</v>
      </c>
      <c r="N18" s="6">
        <v>93</v>
      </c>
      <c r="O18" s="1" t="s">
        <v>39</v>
      </c>
      <c r="P18" s="1">
        <v>1</v>
      </c>
      <c r="Q18" s="1" t="s">
        <v>33</v>
      </c>
      <c r="R18" s="6">
        <v>0</v>
      </c>
      <c r="S18" s="1">
        <v>8</v>
      </c>
      <c r="T18" s="1">
        <v>10</v>
      </c>
      <c r="U18" s="12">
        <v>0.23599999999999999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30.1</v>
      </c>
      <c r="F19" s="6">
        <v>30.29</v>
      </c>
      <c r="G19" s="1">
        <v>53</v>
      </c>
      <c r="H19" s="1">
        <v>51.4</v>
      </c>
      <c r="I19" s="1">
        <v>46</v>
      </c>
      <c r="J19" s="6">
        <v>62.6</v>
      </c>
      <c r="K19" s="5">
        <v>0.29499999999999998</v>
      </c>
      <c r="L19" s="6">
        <v>0.312</v>
      </c>
      <c r="M19" s="1">
        <v>73</v>
      </c>
      <c r="N19" s="6">
        <v>82</v>
      </c>
      <c r="O19" s="1" t="s">
        <v>26</v>
      </c>
      <c r="P19" s="1">
        <v>0.5</v>
      </c>
      <c r="Q19" s="1" t="s">
        <v>27</v>
      </c>
      <c r="R19" s="6">
        <v>0.3</v>
      </c>
      <c r="S19" s="1">
        <v>7</v>
      </c>
      <c r="T19" s="1">
        <v>1</v>
      </c>
      <c r="U19" s="12" t="s">
        <v>22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30.43</v>
      </c>
      <c r="F20" s="6">
        <v>30.42</v>
      </c>
      <c r="G20" s="1">
        <v>58.8</v>
      </c>
      <c r="H20" s="1">
        <v>54.3</v>
      </c>
      <c r="I20" s="1">
        <v>37.1</v>
      </c>
      <c r="J20" s="6">
        <v>67.099999999999994</v>
      </c>
      <c r="K20" s="5">
        <v>0.33200000000000002</v>
      </c>
      <c r="L20" s="6">
        <v>0.36299999999999999</v>
      </c>
      <c r="M20" s="1">
        <v>67</v>
      </c>
      <c r="N20" s="6">
        <v>85</v>
      </c>
      <c r="O20" s="1" t="s">
        <v>28</v>
      </c>
      <c r="P20" s="1">
        <v>0.5</v>
      </c>
      <c r="Q20" s="1" t="s">
        <v>33</v>
      </c>
      <c r="R20" s="6">
        <v>0</v>
      </c>
      <c r="S20" s="1">
        <v>2</v>
      </c>
      <c r="T20" s="1">
        <v>7</v>
      </c>
      <c r="U20" s="12" t="s">
        <v>22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30.46</v>
      </c>
      <c r="F21" s="6">
        <v>30.48</v>
      </c>
      <c r="G21" s="1">
        <v>57.2</v>
      </c>
      <c r="H21" s="1">
        <v>47.5</v>
      </c>
      <c r="I21" s="1">
        <v>40.799999999999997</v>
      </c>
      <c r="J21" s="6">
        <v>65.900000000000006</v>
      </c>
      <c r="K21" s="5">
        <v>0.33700000000000002</v>
      </c>
      <c r="L21" s="6">
        <v>0.246</v>
      </c>
      <c r="M21" s="1">
        <v>72</v>
      </c>
      <c r="N21" s="6">
        <v>75</v>
      </c>
      <c r="O21" s="1" t="s">
        <v>27</v>
      </c>
      <c r="P21" s="1">
        <v>0.5</v>
      </c>
      <c r="Q21" s="1" t="s">
        <v>34</v>
      </c>
      <c r="R21" s="6">
        <v>1.5</v>
      </c>
      <c r="S21" s="1">
        <v>0</v>
      </c>
      <c r="T21" s="1">
        <v>0</v>
      </c>
      <c r="U21" s="12" t="s">
        <v>22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30.43</v>
      </c>
      <c r="F22" s="6">
        <v>30.28</v>
      </c>
      <c r="G22" s="1">
        <v>53.3</v>
      </c>
      <c r="H22" s="1">
        <v>48.5</v>
      </c>
      <c r="I22" s="1">
        <v>37.9</v>
      </c>
      <c r="J22" s="6">
        <v>62.3</v>
      </c>
      <c r="K22" s="5">
        <v>0.28299999999999997</v>
      </c>
      <c r="L22" s="6">
        <v>0.27200000000000002</v>
      </c>
      <c r="M22" s="1">
        <v>69</v>
      </c>
      <c r="N22" s="6">
        <v>80</v>
      </c>
      <c r="O22" s="1" t="s">
        <v>34</v>
      </c>
      <c r="P22" s="1">
        <v>1</v>
      </c>
      <c r="Q22" s="1" t="s">
        <v>36</v>
      </c>
      <c r="R22" s="6">
        <v>2</v>
      </c>
      <c r="S22" s="1">
        <v>8</v>
      </c>
      <c r="T22" s="1">
        <v>6</v>
      </c>
      <c r="U22" s="12" t="s">
        <v>22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30.17</v>
      </c>
      <c r="F23" s="6">
        <v>30.11</v>
      </c>
      <c r="G23" s="1">
        <v>53</v>
      </c>
      <c r="H23" s="1">
        <v>50.5</v>
      </c>
      <c r="I23" s="1">
        <v>46.4</v>
      </c>
      <c r="J23" s="6">
        <v>57.1</v>
      </c>
      <c r="K23" s="5">
        <v>0.315</v>
      </c>
      <c r="L23" s="6">
        <v>0.309</v>
      </c>
      <c r="M23" s="1">
        <v>78</v>
      </c>
      <c r="N23" s="6">
        <v>84</v>
      </c>
      <c r="O23" s="1" t="s">
        <v>36</v>
      </c>
      <c r="P23" s="1">
        <v>1</v>
      </c>
      <c r="Q23" s="1" t="s">
        <v>26</v>
      </c>
      <c r="R23" s="6">
        <v>1.5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30.07</v>
      </c>
      <c r="F24" s="6">
        <v>30.1</v>
      </c>
      <c r="G24" s="1">
        <v>54.1</v>
      </c>
      <c r="H24" s="1">
        <v>54.5</v>
      </c>
      <c r="I24" s="1">
        <v>46.8</v>
      </c>
      <c r="J24" s="6">
        <v>58.9</v>
      </c>
      <c r="K24" s="5">
        <v>0.32600000000000001</v>
      </c>
      <c r="L24" s="6">
        <v>0.36499999999999999</v>
      </c>
      <c r="M24" s="1">
        <v>78</v>
      </c>
      <c r="N24" s="6">
        <v>86</v>
      </c>
      <c r="O24" s="1" t="s">
        <v>36</v>
      </c>
      <c r="P24" s="1">
        <v>0.5</v>
      </c>
      <c r="Q24" s="1" t="s">
        <v>33</v>
      </c>
      <c r="R24" s="6">
        <v>0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30.15</v>
      </c>
      <c r="F25" s="6">
        <v>30.13</v>
      </c>
      <c r="G25" s="1">
        <v>57.1</v>
      </c>
      <c r="H25" s="1">
        <v>54.5</v>
      </c>
      <c r="I25" s="1">
        <v>41.6</v>
      </c>
      <c r="J25" s="6">
        <v>69</v>
      </c>
      <c r="K25" s="5">
        <v>0.35799999999999998</v>
      </c>
      <c r="L25" s="6">
        <v>0.318</v>
      </c>
      <c r="M25" s="1">
        <v>77</v>
      </c>
      <c r="N25" s="6">
        <v>75</v>
      </c>
      <c r="O25" s="1" t="s">
        <v>39</v>
      </c>
      <c r="P25" s="1">
        <v>0.5</v>
      </c>
      <c r="Q25" s="1" t="s">
        <v>26</v>
      </c>
      <c r="R25" s="6">
        <v>0.2</v>
      </c>
      <c r="S25" s="1">
        <v>5</v>
      </c>
      <c r="T25" s="1">
        <v>2</v>
      </c>
      <c r="U25" s="12" t="s">
        <v>22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30.15</v>
      </c>
      <c r="F26" s="6">
        <v>30.16</v>
      </c>
      <c r="G26" s="1">
        <v>53</v>
      </c>
      <c r="H26" s="1">
        <v>52.9</v>
      </c>
      <c r="I26" s="1">
        <v>43.9</v>
      </c>
      <c r="J26" s="6">
        <v>66.599999999999994</v>
      </c>
      <c r="K26" s="5">
        <v>0.33500000000000002</v>
      </c>
      <c r="L26" s="6">
        <v>0.34599999999999997</v>
      </c>
      <c r="M26" s="1">
        <v>83</v>
      </c>
      <c r="N26" s="6">
        <v>87</v>
      </c>
      <c r="O26" s="1" t="s">
        <v>25</v>
      </c>
      <c r="P26" s="1">
        <v>0.5</v>
      </c>
      <c r="Q26" s="1" t="s">
        <v>43</v>
      </c>
      <c r="R26" s="6">
        <v>0.2</v>
      </c>
      <c r="S26" s="1">
        <v>10</v>
      </c>
      <c r="T26" s="1">
        <v>6</v>
      </c>
      <c r="U26" s="12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30.15</v>
      </c>
      <c r="F27" s="6">
        <v>30.13</v>
      </c>
      <c r="G27" s="1">
        <v>57</v>
      </c>
      <c r="H27" s="1">
        <v>51.5</v>
      </c>
      <c r="I27" s="1">
        <v>43.3</v>
      </c>
      <c r="J27" s="6">
        <v>65.7</v>
      </c>
      <c r="K27" s="5">
        <v>0.33900000000000002</v>
      </c>
      <c r="L27" s="6">
        <v>0.32400000000000001</v>
      </c>
      <c r="M27" s="1">
        <v>73</v>
      </c>
      <c r="N27" s="6">
        <v>85</v>
      </c>
      <c r="O27" s="1" t="s">
        <v>26</v>
      </c>
      <c r="P27" s="1">
        <v>0.5</v>
      </c>
      <c r="Q27" s="1" t="s">
        <v>25</v>
      </c>
      <c r="R27" s="6">
        <v>0.2</v>
      </c>
      <c r="S27" s="1">
        <v>7</v>
      </c>
      <c r="T27" s="1">
        <v>0</v>
      </c>
      <c r="U27" s="12" t="s">
        <v>22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30.05</v>
      </c>
      <c r="F28" s="6">
        <v>29.95</v>
      </c>
      <c r="G28" s="1">
        <v>55.3</v>
      </c>
      <c r="H28" s="1">
        <v>54.5</v>
      </c>
      <c r="I28" s="1">
        <v>47.2</v>
      </c>
      <c r="J28" s="6">
        <v>59.1</v>
      </c>
      <c r="K28" s="5">
        <v>0.34899999999999998</v>
      </c>
      <c r="L28" s="6">
        <v>0.33400000000000002</v>
      </c>
      <c r="M28" s="1">
        <v>80</v>
      </c>
      <c r="N28" s="6">
        <v>78</v>
      </c>
      <c r="O28" s="1" t="s">
        <v>26</v>
      </c>
      <c r="P28" s="1">
        <v>0.5</v>
      </c>
      <c r="Q28" s="1" t="s">
        <v>29</v>
      </c>
      <c r="R28" s="6">
        <v>1</v>
      </c>
      <c r="S28" s="1">
        <v>10</v>
      </c>
      <c r="T28" s="1">
        <v>10</v>
      </c>
      <c r="U28" s="12" t="s">
        <v>22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29.78</v>
      </c>
      <c r="F29" s="6">
        <v>29.73</v>
      </c>
      <c r="G29" s="1">
        <v>57</v>
      </c>
      <c r="H29" s="1">
        <v>48.4</v>
      </c>
      <c r="I29" s="1">
        <v>47.9</v>
      </c>
      <c r="J29" s="6">
        <v>61</v>
      </c>
      <c r="K29" s="5">
        <v>0.41399999999999998</v>
      </c>
      <c r="L29" s="6">
        <v>0.32100000000000001</v>
      </c>
      <c r="M29" s="1">
        <v>89</v>
      </c>
      <c r="N29" s="6">
        <v>94</v>
      </c>
      <c r="O29" s="1" t="s">
        <v>29</v>
      </c>
      <c r="P29" s="1">
        <v>1.5</v>
      </c>
      <c r="Q29" s="1" t="s">
        <v>34</v>
      </c>
      <c r="R29" s="6">
        <v>1</v>
      </c>
      <c r="S29" s="1">
        <v>10</v>
      </c>
      <c r="T29" s="1">
        <v>10</v>
      </c>
      <c r="U29" s="12">
        <v>0.26200000000000001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29.8</v>
      </c>
      <c r="F30" s="6">
        <v>29.91</v>
      </c>
      <c r="G30" s="1">
        <v>51.3</v>
      </c>
      <c r="H30" s="1">
        <v>48.3</v>
      </c>
      <c r="I30" s="1">
        <v>36.6</v>
      </c>
      <c r="J30" s="6">
        <v>57.4</v>
      </c>
      <c r="K30" s="5">
        <v>0.23899999999999999</v>
      </c>
      <c r="L30" s="6">
        <v>0.26100000000000001</v>
      </c>
      <c r="M30" s="1">
        <v>64</v>
      </c>
      <c r="N30" s="6">
        <v>77</v>
      </c>
      <c r="O30" s="1" t="s">
        <v>27</v>
      </c>
      <c r="P30" s="1">
        <v>1</v>
      </c>
      <c r="Q30" s="1" t="s">
        <v>26</v>
      </c>
      <c r="R30" s="6">
        <v>1</v>
      </c>
      <c r="S30" s="1">
        <v>6</v>
      </c>
      <c r="T30" s="1">
        <v>8</v>
      </c>
      <c r="U30" s="12" t="s">
        <v>22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29.94</v>
      </c>
      <c r="F31" s="6">
        <v>29.81</v>
      </c>
      <c r="G31" s="1">
        <v>53.9</v>
      </c>
      <c r="H31" s="1">
        <v>52.5</v>
      </c>
      <c r="I31" s="1">
        <v>36.799999999999997</v>
      </c>
      <c r="J31" s="6">
        <v>58.4</v>
      </c>
      <c r="K31" s="5">
        <v>0.27700000000000002</v>
      </c>
      <c r="L31" s="6">
        <v>0.33800000000000002</v>
      </c>
      <c r="M31" s="1">
        <v>66</v>
      </c>
      <c r="N31" s="6">
        <v>86</v>
      </c>
      <c r="O31" s="1" t="s">
        <v>39</v>
      </c>
      <c r="P31" s="1">
        <v>0.5</v>
      </c>
      <c r="Q31" s="1" t="s">
        <v>38</v>
      </c>
      <c r="R31" s="6">
        <v>2</v>
      </c>
      <c r="S31" s="1">
        <v>10</v>
      </c>
      <c r="T31" s="1">
        <v>10</v>
      </c>
      <c r="U31" s="12">
        <v>7.4999999999999997E-2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29.74</v>
      </c>
      <c r="F32" s="6">
        <v>29.73</v>
      </c>
      <c r="G32" s="1">
        <v>56.8</v>
      </c>
      <c r="H32" s="1">
        <v>52.3</v>
      </c>
      <c r="I32" s="1">
        <v>52</v>
      </c>
      <c r="J32" s="6">
        <v>60</v>
      </c>
      <c r="K32" s="5">
        <v>0.40799999999999997</v>
      </c>
      <c r="L32" s="6">
        <v>0.36</v>
      </c>
      <c r="M32" s="1">
        <v>88</v>
      </c>
      <c r="N32" s="6">
        <v>92</v>
      </c>
      <c r="O32" s="1" t="s">
        <v>29</v>
      </c>
      <c r="P32" s="1">
        <v>2</v>
      </c>
      <c r="Q32" s="1" t="s">
        <v>38</v>
      </c>
      <c r="R32" s="6">
        <v>1</v>
      </c>
      <c r="S32" s="1">
        <v>10</v>
      </c>
      <c r="T32" s="1">
        <v>10</v>
      </c>
      <c r="U32" s="12">
        <v>0.47499999999999998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29.84</v>
      </c>
      <c r="F33" s="6">
        <v>30.05</v>
      </c>
      <c r="G33" s="1">
        <v>48.8</v>
      </c>
      <c r="H33" s="1">
        <v>48.5</v>
      </c>
      <c r="I33" s="1">
        <v>45.8</v>
      </c>
      <c r="J33" s="6">
        <v>55</v>
      </c>
      <c r="K33" s="5">
        <v>0.27200000000000002</v>
      </c>
      <c r="L33" s="6">
        <v>0.29199999999999998</v>
      </c>
      <c r="M33" s="1">
        <v>79</v>
      </c>
      <c r="N33" s="6">
        <v>86</v>
      </c>
      <c r="O33" s="1" t="s">
        <v>39</v>
      </c>
      <c r="P33" s="1">
        <v>1.5</v>
      </c>
      <c r="Q33" s="1" t="s">
        <v>25</v>
      </c>
      <c r="R33" s="6">
        <v>0.3</v>
      </c>
      <c r="S33" s="1">
        <v>10</v>
      </c>
      <c r="T33" s="1">
        <v>6</v>
      </c>
      <c r="U33" s="12">
        <v>4.9000000000000002E-2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30.14</v>
      </c>
      <c r="F34" s="6">
        <v>30.07</v>
      </c>
      <c r="G34" s="1">
        <v>54.5</v>
      </c>
      <c r="H34" s="1">
        <v>53.5</v>
      </c>
      <c r="I34" s="1">
        <v>43</v>
      </c>
      <c r="J34" s="6">
        <v>57.3</v>
      </c>
      <c r="K34" s="5">
        <v>0.27400000000000002</v>
      </c>
      <c r="L34" s="6">
        <v>0.373</v>
      </c>
      <c r="M34" s="1">
        <v>65</v>
      </c>
      <c r="N34" s="6">
        <v>90</v>
      </c>
      <c r="O34" s="1" t="s">
        <v>29</v>
      </c>
      <c r="P34" s="1">
        <v>1</v>
      </c>
      <c r="Q34" s="1" t="s">
        <v>29</v>
      </c>
      <c r="R34" s="6">
        <v>1</v>
      </c>
      <c r="S34" s="1">
        <v>10</v>
      </c>
      <c r="T34" s="1">
        <v>10</v>
      </c>
      <c r="U34" s="12">
        <v>2.5999999999999999E-2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29.99</v>
      </c>
      <c r="F35" s="9">
        <v>29.88</v>
      </c>
      <c r="G35" s="8">
        <v>55.4</v>
      </c>
      <c r="H35" s="8">
        <v>53.6</v>
      </c>
      <c r="I35" s="8">
        <v>50.6</v>
      </c>
      <c r="J35" s="9">
        <v>59.7</v>
      </c>
      <c r="K35" s="7">
        <v>0.38500000000000001</v>
      </c>
      <c r="L35" s="9">
        <v>0.35299999999999998</v>
      </c>
      <c r="M35" s="8">
        <v>88</v>
      </c>
      <c r="N35" s="9">
        <v>86</v>
      </c>
      <c r="O35" s="8" t="s">
        <v>29</v>
      </c>
      <c r="P35" s="8">
        <v>1</v>
      </c>
      <c r="Q35" s="8" t="s">
        <v>29</v>
      </c>
      <c r="R35" s="9">
        <v>1.5</v>
      </c>
      <c r="S35" s="8">
        <v>9</v>
      </c>
      <c r="T35" s="8">
        <v>10</v>
      </c>
      <c r="U35" s="13">
        <v>2.5000000000000001E-2</v>
      </c>
    </row>
    <row r="36" spans="1:21" s="1" customFormat="1">
      <c r="A36" s="14"/>
      <c r="B36" s="15"/>
      <c r="C36" s="15"/>
      <c r="D36" s="16" t="s">
        <v>30</v>
      </c>
      <c r="E36" s="15">
        <v>29.971</v>
      </c>
      <c r="F36" s="16">
        <v>29.974</v>
      </c>
      <c r="G36" s="14">
        <v>51.5</v>
      </c>
      <c r="H36" s="15">
        <v>48.4</v>
      </c>
      <c r="I36" s="15">
        <v>40.9</v>
      </c>
      <c r="J36" s="16">
        <v>58</v>
      </c>
      <c r="K36" s="15">
        <v>0.28399999999999997</v>
      </c>
      <c r="L36" s="15">
        <v>0.28599999999999998</v>
      </c>
      <c r="M36" s="14">
        <v>73.3</v>
      </c>
      <c r="N36" s="16">
        <v>82.7</v>
      </c>
      <c r="O36" s="14" t="s">
        <v>22</v>
      </c>
      <c r="P36" s="15">
        <v>1.2</v>
      </c>
      <c r="Q36" s="15" t="s">
        <v>22</v>
      </c>
      <c r="R36" s="16">
        <v>1.1000000000000001</v>
      </c>
      <c r="S36" s="14">
        <v>7.6</v>
      </c>
      <c r="T36" s="16">
        <v>7</v>
      </c>
      <c r="U36" s="17">
        <v>2.6030000000000002</v>
      </c>
    </row>
    <row r="37" spans="1:21">
      <c r="E37">
        <f>SUM(E5:E35)/31</f>
        <v>29.971935483870965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A19" workbookViewId="0">
      <selection activeCell="E37" sqref="E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6" t="s">
        <v>0</v>
      </c>
      <c r="F2" s="27"/>
      <c r="G2" s="28" t="s">
        <v>1</v>
      </c>
      <c r="H2" s="28"/>
      <c r="I2" s="28"/>
      <c r="J2" s="29"/>
      <c r="K2" s="30" t="s">
        <v>2</v>
      </c>
      <c r="L2" s="29"/>
      <c r="M2" s="30" t="s">
        <v>3</v>
      </c>
      <c r="N2" s="29"/>
      <c r="O2" s="28" t="s">
        <v>4</v>
      </c>
      <c r="P2" s="28"/>
      <c r="Q2" s="28"/>
      <c r="R2" s="29"/>
      <c r="S2" s="30" t="s">
        <v>5</v>
      </c>
      <c r="T2" s="31"/>
      <c r="U2" s="10" t="s">
        <v>6</v>
      </c>
    </row>
    <row r="3" spans="1:21" s="2" customFormat="1">
      <c r="A3" s="3"/>
      <c r="E3" s="20"/>
      <c r="F3" s="21"/>
      <c r="J3" s="4"/>
      <c r="K3" s="32"/>
      <c r="L3" s="33"/>
      <c r="M3" s="34"/>
      <c r="N3" s="35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29.86</v>
      </c>
      <c r="F5" s="6">
        <v>29.97</v>
      </c>
      <c r="G5" s="1">
        <v>48.1</v>
      </c>
      <c r="H5" s="1">
        <v>47.3</v>
      </c>
      <c r="I5" s="1">
        <v>40.200000000000003</v>
      </c>
      <c r="J5" s="6">
        <v>53.1</v>
      </c>
      <c r="K5" s="5">
        <v>0.27700000000000002</v>
      </c>
      <c r="L5" s="6">
        <v>0.252</v>
      </c>
      <c r="M5" s="1">
        <v>83</v>
      </c>
      <c r="N5" s="6">
        <v>78</v>
      </c>
      <c r="O5" s="1" t="s">
        <v>42</v>
      </c>
      <c r="P5" s="1">
        <v>3</v>
      </c>
      <c r="Q5" s="1" t="s">
        <v>23</v>
      </c>
      <c r="R5" s="6">
        <v>2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30.04</v>
      </c>
      <c r="F6" s="6">
        <v>30.04</v>
      </c>
      <c r="G6" s="1">
        <v>48.3</v>
      </c>
      <c r="H6" s="1">
        <v>42.7</v>
      </c>
      <c r="I6" s="1">
        <v>32.200000000000003</v>
      </c>
      <c r="J6" s="6">
        <v>56.4</v>
      </c>
      <c r="K6" s="5">
        <v>0.27100000000000002</v>
      </c>
      <c r="L6" s="6">
        <v>0.24099999999999999</v>
      </c>
      <c r="M6" s="1">
        <v>81</v>
      </c>
      <c r="N6" s="6">
        <v>88</v>
      </c>
      <c r="O6" s="1" t="s">
        <v>35</v>
      </c>
      <c r="P6" s="1">
        <v>1</v>
      </c>
      <c r="Q6" s="1" t="s">
        <v>24</v>
      </c>
      <c r="R6" s="6" t="s">
        <v>83</v>
      </c>
      <c r="S6" s="1">
        <v>2</v>
      </c>
      <c r="T6" s="1">
        <v>7</v>
      </c>
      <c r="U6" s="12" t="s">
        <v>22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29.98</v>
      </c>
      <c r="F7" s="6">
        <v>29.94</v>
      </c>
      <c r="G7" s="1">
        <v>47.5</v>
      </c>
      <c r="H7" s="1">
        <v>45.5</v>
      </c>
      <c r="I7" s="1">
        <v>40.799999999999997</v>
      </c>
      <c r="J7" s="6">
        <v>54.6</v>
      </c>
      <c r="K7" s="5">
        <v>0.24199999999999999</v>
      </c>
      <c r="L7" s="6">
        <v>0.22700000000000001</v>
      </c>
      <c r="M7" s="1">
        <v>74</v>
      </c>
      <c r="N7" s="6">
        <v>75</v>
      </c>
      <c r="O7" s="1" t="s">
        <v>28</v>
      </c>
      <c r="P7" s="1">
        <v>2</v>
      </c>
      <c r="Q7" s="1" t="s">
        <v>42</v>
      </c>
      <c r="R7" s="6">
        <v>4</v>
      </c>
      <c r="S7" s="1">
        <v>10</v>
      </c>
      <c r="T7" s="1">
        <v>9</v>
      </c>
      <c r="U7" s="12">
        <v>0.01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30</v>
      </c>
      <c r="F8" s="6">
        <v>30.03</v>
      </c>
      <c r="G8" s="1">
        <v>45.9</v>
      </c>
      <c r="H8" s="1">
        <v>42.9</v>
      </c>
      <c r="I8" s="1">
        <v>34.299999999999997</v>
      </c>
      <c r="J8" s="6">
        <v>48.2</v>
      </c>
      <c r="K8" s="5">
        <v>0.20599999999999999</v>
      </c>
      <c r="L8" s="6">
        <v>0.20499999999999999</v>
      </c>
      <c r="M8" s="1">
        <v>67</v>
      </c>
      <c r="N8" s="6">
        <v>75</v>
      </c>
      <c r="O8" s="1" t="s">
        <v>24</v>
      </c>
      <c r="P8" s="1">
        <v>5</v>
      </c>
      <c r="Q8" s="1" t="s">
        <v>24</v>
      </c>
      <c r="R8" s="6">
        <v>1</v>
      </c>
      <c r="S8" s="1">
        <v>6</v>
      </c>
      <c r="T8" s="1">
        <v>8</v>
      </c>
      <c r="U8" s="12" t="s">
        <v>22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30.03</v>
      </c>
      <c r="F9" s="6">
        <v>30.03</v>
      </c>
      <c r="G9" s="1">
        <v>45.9</v>
      </c>
      <c r="H9" s="1">
        <v>43.7</v>
      </c>
      <c r="I9" s="1">
        <v>34.799999999999997</v>
      </c>
      <c r="J9" s="6">
        <v>51.2</v>
      </c>
      <c r="K9" s="5">
        <v>0.20100000000000001</v>
      </c>
      <c r="L9" s="6">
        <v>0.25800000000000001</v>
      </c>
      <c r="M9" s="1">
        <v>66</v>
      </c>
      <c r="N9" s="6">
        <v>90</v>
      </c>
      <c r="O9" s="1" t="s">
        <v>24</v>
      </c>
      <c r="P9" s="1">
        <v>5</v>
      </c>
      <c r="Q9" s="1" t="s">
        <v>33</v>
      </c>
      <c r="R9" s="6">
        <v>0</v>
      </c>
      <c r="S9" s="1">
        <v>8</v>
      </c>
      <c r="T9" s="1">
        <v>10</v>
      </c>
      <c r="U9" s="12">
        <v>1.4999999999999999E-2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30.03</v>
      </c>
      <c r="F10" s="6">
        <v>29.95</v>
      </c>
      <c r="G10" s="1">
        <v>45.4</v>
      </c>
      <c r="H10" s="1">
        <v>49.7</v>
      </c>
      <c r="I10" s="1">
        <v>30.6</v>
      </c>
      <c r="J10" s="6">
        <v>56.5</v>
      </c>
      <c r="K10" s="5">
        <v>0.221</v>
      </c>
      <c r="L10" s="6">
        <v>0.25600000000000001</v>
      </c>
      <c r="M10" s="1">
        <v>73</v>
      </c>
      <c r="N10" s="6">
        <v>72</v>
      </c>
      <c r="O10" s="1" t="s">
        <v>23</v>
      </c>
      <c r="P10" s="1">
        <v>4</v>
      </c>
      <c r="Q10" s="1" t="s">
        <v>23</v>
      </c>
      <c r="R10" s="6">
        <v>2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29.76</v>
      </c>
      <c r="F11" s="6">
        <v>29.67</v>
      </c>
      <c r="G11" s="1">
        <v>51.9</v>
      </c>
      <c r="H11" s="1">
        <v>48.1</v>
      </c>
      <c r="I11" s="1">
        <v>33</v>
      </c>
      <c r="J11" s="6">
        <v>58.9</v>
      </c>
      <c r="K11" s="5">
        <v>0.27300000000000002</v>
      </c>
      <c r="L11" s="6">
        <v>0.26200000000000001</v>
      </c>
      <c r="M11" s="1">
        <v>72</v>
      </c>
      <c r="N11" s="6">
        <v>78</v>
      </c>
      <c r="O11" s="1" t="s">
        <v>24</v>
      </c>
      <c r="P11" s="1">
        <v>4</v>
      </c>
      <c r="Q11" s="1" t="s">
        <v>23</v>
      </c>
      <c r="R11" s="6">
        <v>3</v>
      </c>
      <c r="S11" s="1">
        <v>5</v>
      </c>
      <c r="T11" s="1">
        <v>10</v>
      </c>
      <c r="U11" s="12" t="s">
        <v>22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29.69</v>
      </c>
      <c r="F12" s="6">
        <v>29.69</v>
      </c>
      <c r="G12" s="1">
        <v>38.299999999999997</v>
      </c>
      <c r="H12" s="1">
        <v>39.799999999999997</v>
      </c>
      <c r="I12" s="1">
        <v>35.9</v>
      </c>
      <c r="J12" s="6">
        <v>48</v>
      </c>
      <c r="K12" s="5">
        <v>0.20899999999999999</v>
      </c>
      <c r="L12" s="6">
        <v>0.19700000000000001</v>
      </c>
      <c r="M12" s="1">
        <v>91</v>
      </c>
      <c r="N12" s="6">
        <v>80</v>
      </c>
      <c r="O12" s="1" t="s">
        <v>28</v>
      </c>
      <c r="P12" s="1">
        <v>6</v>
      </c>
      <c r="Q12" s="1" t="s">
        <v>28</v>
      </c>
      <c r="R12" s="6">
        <v>5</v>
      </c>
      <c r="S12" s="1">
        <v>10</v>
      </c>
      <c r="T12" s="1">
        <v>10</v>
      </c>
      <c r="U12" s="12">
        <v>0.35499999999999998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29.66</v>
      </c>
      <c r="F13" s="6">
        <v>29.85</v>
      </c>
      <c r="G13" s="1">
        <v>33.299999999999997</v>
      </c>
      <c r="H13" s="1">
        <v>38.700000000000003</v>
      </c>
      <c r="I13" s="1">
        <v>32.200000000000003</v>
      </c>
      <c r="J13" s="6">
        <v>39.799999999999997</v>
      </c>
      <c r="K13" s="5">
        <v>0.184</v>
      </c>
      <c r="L13" s="6">
        <v>0.216</v>
      </c>
      <c r="M13" s="1">
        <v>97</v>
      </c>
      <c r="N13" s="6">
        <v>92</v>
      </c>
      <c r="O13" s="1" t="s">
        <v>28</v>
      </c>
      <c r="P13" s="1">
        <v>6</v>
      </c>
      <c r="Q13" s="1" t="s">
        <v>28</v>
      </c>
      <c r="R13" s="6">
        <v>2</v>
      </c>
      <c r="S13" s="1">
        <v>10</v>
      </c>
      <c r="T13" s="1">
        <v>10</v>
      </c>
      <c r="U13" s="12">
        <v>0.40500000000000003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29.89</v>
      </c>
      <c r="F14" s="6">
        <v>29.92</v>
      </c>
      <c r="G14" s="1">
        <v>41.9</v>
      </c>
      <c r="H14" s="1">
        <v>40.9</v>
      </c>
      <c r="I14" s="1">
        <v>29.1</v>
      </c>
      <c r="J14" s="6">
        <v>48.4</v>
      </c>
      <c r="K14" s="5">
        <v>0.224</v>
      </c>
      <c r="L14" s="6">
        <v>0.224</v>
      </c>
      <c r="M14" s="1">
        <v>85</v>
      </c>
      <c r="N14" s="6">
        <v>88</v>
      </c>
      <c r="O14" s="1" t="s">
        <v>34</v>
      </c>
      <c r="P14" s="1">
        <v>6</v>
      </c>
      <c r="Q14" s="1" t="s">
        <v>27</v>
      </c>
      <c r="R14" s="6">
        <v>1</v>
      </c>
      <c r="S14" s="1">
        <v>7</v>
      </c>
      <c r="T14" s="1">
        <v>9</v>
      </c>
      <c r="U14" s="12">
        <v>0.3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29.88</v>
      </c>
      <c r="F15" s="6">
        <v>29.56</v>
      </c>
      <c r="G15" s="1">
        <v>43.9</v>
      </c>
      <c r="H15" s="1">
        <v>51.4</v>
      </c>
      <c r="I15" s="1">
        <v>36</v>
      </c>
      <c r="J15" s="6">
        <v>51.4</v>
      </c>
      <c r="K15" s="5">
        <v>0.223</v>
      </c>
      <c r="L15" s="6">
        <v>0.35099999999999998</v>
      </c>
      <c r="M15" s="1">
        <v>77</v>
      </c>
      <c r="N15" s="6">
        <v>92</v>
      </c>
      <c r="O15" s="1" t="s">
        <v>27</v>
      </c>
      <c r="P15" s="1">
        <v>1</v>
      </c>
      <c r="Q15" s="1" t="s">
        <v>33</v>
      </c>
      <c r="R15" s="6">
        <v>0</v>
      </c>
      <c r="S15" s="1">
        <v>10</v>
      </c>
      <c r="T15" s="1">
        <v>10</v>
      </c>
      <c r="U15" s="12">
        <v>0.315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29.61</v>
      </c>
      <c r="F16" s="6">
        <v>29.56</v>
      </c>
      <c r="G16" s="1">
        <v>51.9</v>
      </c>
      <c r="H16" s="1">
        <v>51.9</v>
      </c>
      <c r="I16" s="1">
        <v>49.1</v>
      </c>
      <c r="J16" s="6">
        <v>56.7</v>
      </c>
      <c r="K16" s="5">
        <v>0.26500000000000001</v>
      </c>
      <c r="L16" s="6">
        <v>0.33900000000000002</v>
      </c>
      <c r="M16" s="1">
        <v>69</v>
      </c>
      <c r="N16" s="6">
        <v>88</v>
      </c>
      <c r="O16" s="1" t="s">
        <v>25</v>
      </c>
      <c r="P16" s="36" t="s">
        <v>48</v>
      </c>
      <c r="Q16" s="1" t="s">
        <v>25</v>
      </c>
      <c r="R16" s="6">
        <v>6</v>
      </c>
      <c r="S16" s="1">
        <v>8</v>
      </c>
      <c r="T16" s="1">
        <v>9</v>
      </c>
      <c r="U16" s="12">
        <v>0.15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29.51</v>
      </c>
      <c r="F17" s="6">
        <v>29.62</v>
      </c>
      <c r="G17" s="1">
        <v>55.4</v>
      </c>
      <c r="H17" s="1">
        <v>51.1</v>
      </c>
      <c r="I17" s="1">
        <v>50.8</v>
      </c>
      <c r="J17" s="6">
        <v>57.2</v>
      </c>
      <c r="K17" s="5">
        <v>0.30399999999999999</v>
      </c>
      <c r="L17" s="6">
        <v>0.29799999999999999</v>
      </c>
      <c r="M17" s="1">
        <v>69</v>
      </c>
      <c r="N17" s="6">
        <v>79</v>
      </c>
      <c r="O17" s="1" t="s">
        <v>39</v>
      </c>
      <c r="P17" s="1">
        <v>7</v>
      </c>
      <c r="Q17" s="1" t="s">
        <v>25</v>
      </c>
      <c r="R17" s="6">
        <v>6</v>
      </c>
      <c r="S17" s="1">
        <v>5</v>
      </c>
      <c r="T17" s="1">
        <v>8</v>
      </c>
      <c r="U17" s="12">
        <v>7.4999999999999997E-2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29.7</v>
      </c>
      <c r="F18" s="6">
        <v>29.89</v>
      </c>
      <c r="G18" s="1">
        <v>53.3</v>
      </c>
      <c r="H18" s="1">
        <v>48.4</v>
      </c>
      <c r="I18" s="1">
        <v>45.4</v>
      </c>
      <c r="J18" s="6">
        <v>58.7</v>
      </c>
      <c r="K18" s="5">
        <v>0.29199999999999998</v>
      </c>
      <c r="L18" s="6">
        <v>0.312</v>
      </c>
      <c r="M18" s="1">
        <v>72</v>
      </c>
      <c r="N18" s="6">
        <v>92</v>
      </c>
      <c r="O18" s="1" t="s">
        <v>43</v>
      </c>
      <c r="P18" s="1">
        <v>2</v>
      </c>
      <c r="Q18" s="1" t="s">
        <v>33</v>
      </c>
      <c r="R18" s="6">
        <v>0</v>
      </c>
      <c r="S18" s="1">
        <v>9</v>
      </c>
      <c r="T18" s="1">
        <v>10</v>
      </c>
      <c r="U18" s="12">
        <v>0.26500000000000001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30.1</v>
      </c>
      <c r="F19" s="6">
        <v>30.3</v>
      </c>
      <c r="G19" s="1">
        <v>51.9</v>
      </c>
      <c r="H19" s="1">
        <v>46.9</v>
      </c>
      <c r="I19" s="1">
        <v>39.799999999999997</v>
      </c>
      <c r="J19" s="6">
        <v>59.3</v>
      </c>
      <c r="K19" s="5">
        <v>0.32900000000000001</v>
      </c>
      <c r="L19" s="6">
        <v>0.26900000000000002</v>
      </c>
      <c r="M19" s="1">
        <v>85</v>
      </c>
      <c r="N19" s="6">
        <v>85</v>
      </c>
      <c r="O19" s="1" t="s">
        <v>33</v>
      </c>
      <c r="P19" s="1">
        <v>0</v>
      </c>
      <c r="Q19" s="1" t="s">
        <v>33</v>
      </c>
      <c r="R19" s="6">
        <v>0</v>
      </c>
      <c r="S19" s="1">
        <v>9</v>
      </c>
      <c r="T19" s="1">
        <v>0</v>
      </c>
      <c r="U19" s="12" t="s">
        <v>22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30.41</v>
      </c>
      <c r="F20" s="6">
        <v>30.42</v>
      </c>
      <c r="G20" s="1">
        <v>55.9</v>
      </c>
      <c r="H20" s="1">
        <v>50.9</v>
      </c>
      <c r="I20" s="1">
        <v>35.700000000000003</v>
      </c>
      <c r="J20" s="6">
        <v>66.599999999999994</v>
      </c>
      <c r="K20" s="5">
        <v>0.33600000000000002</v>
      </c>
      <c r="L20" s="6">
        <v>0.318</v>
      </c>
      <c r="M20" s="1">
        <v>76</v>
      </c>
      <c r="N20" s="6">
        <v>86</v>
      </c>
      <c r="O20" s="1" t="s">
        <v>33</v>
      </c>
      <c r="P20" s="1">
        <v>0</v>
      </c>
      <c r="Q20" s="1" t="s">
        <v>24</v>
      </c>
      <c r="R20" s="6">
        <v>1</v>
      </c>
      <c r="S20" s="1">
        <v>0</v>
      </c>
      <c r="T20" s="1">
        <v>1</v>
      </c>
      <c r="U20" s="12" t="s">
        <v>22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30.46</v>
      </c>
      <c r="F21" s="6">
        <v>30.47</v>
      </c>
      <c r="G21" s="1">
        <v>56.9</v>
      </c>
      <c r="H21" s="1">
        <v>47.9</v>
      </c>
      <c r="I21" s="1">
        <v>38.9</v>
      </c>
      <c r="J21" s="6">
        <v>64.3</v>
      </c>
      <c r="K21" s="5">
        <v>0.33600000000000002</v>
      </c>
      <c r="L21" s="6">
        <v>0.28499999999999998</v>
      </c>
      <c r="M21" s="1">
        <v>73</v>
      </c>
      <c r="N21" s="6">
        <v>86</v>
      </c>
      <c r="O21" s="1" t="s">
        <v>27</v>
      </c>
      <c r="P21" s="1">
        <v>1</v>
      </c>
      <c r="Q21" s="1" t="s">
        <v>33</v>
      </c>
      <c r="R21" s="6">
        <v>0</v>
      </c>
      <c r="S21" s="1">
        <v>0</v>
      </c>
      <c r="T21" s="1">
        <v>0</v>
      </c>
      <c r="U21" s="12" t="s">
        <v>22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30.45</v>
      </c>
      <c r="F22" s="6">
        <v>30.34</v>
      </c>
      <c r="G22" s="1">
        <v>53.1</v>
      </c>
      <c r="H22" s="1">
        <v>47.6</v>
      </c>
      <c r="I22" s="1">
        <v>38</v>
      </c>
      <c r="J22" s="6">
        <v>61</v>
      </c>
      <c r="K22" s="5">
        <v>0.26600000000000001</v>
      </c>
      <c r="L22" s="6">
        <v>0.28999999999999998</v>
      </c>
      <c r="M22" s="1">
        <v>67</v>
      </c>
      <c r="N22" s="6">
        <v>89</v>
      </c>
      <c r="O22" s="1" t="s">
        <v>24</v>
      </c>
      <c r="P22" s="1">
        <v>1</v>
      </c>
      <c r="Q22" s="1" t="s">
        <v>33</v>
      </c>
      <c r="R22" s="6">
        <v>0</v>
      </c>
      <c r="S22" s="1">
        <v>1</v>
      </c>
      <c r="T22" s="1">
        <v>2</v>
      </c>
      <c r="U22" s="12" t="s">
        <v>22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30.22</v>
      </c>
      <c r="F23" s="6">
        <v>30.14</v>
      </c>
      <c r="G23" s="1">
        <v>52.7</v>
      </c>
      <c r="H23" s="1">
        <v>49.9</v>
      </c>
      <c r="I23" s="1">
        <v>37.299999999999997</v>
      </c>
      <c r="J23" s="6">
        <v>59.6</v>
      </c>
      <c r="K23" s="5">
        <v>0.29399999999999998</v>
      </c>
      <c r="L23" s="6">
        <v>0.30599999999999999</v>
      </c>
      <c r="M23" s="1">
        <v>74</v>
      </c>
      <c r="N23" s="6">
        <v>86</v>
      </c>
      <c r="O23" s="1" t="s">
        <v>27</v>
      </c>
      <c r="P23" s="1">
        <v>2</v>
      </c>
      <c r="Q23" s="1" t="s">
        <v>27</v>
      </c>
      <c r="R23" s="6">
        <v>1</v>
      </c>
      <c r="S23" s="1">
        <v>8</v>
      </c>
      <c r="T23" s="1">
        <v>10</v>
      </c>
      <c r="U23" s="12" t="s">
        <v>22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30.09</v>
      </c>
      <c r="F24" s="6">
        <v>30.11</v>
      </c>
      <c r="G24" s="1">
        <v>52.6</v>
      </c>
      <c r="H24" s="1">
        <v>46.9</v>
      </c>
      <c r="I24" s="1">
        <v>46.9</v>
      </c>
      <c r="J24" s="6">
        <v>63.7</v>
      </c>
      <c r="K24" s="5">
        <v>0.29899999999999999</v>
      </c>
      <c r="L24" s="6">
        <v>0.29699999999999999</v>
      </c>
      <c r="M24" s="1">
        <v>75</v>
      </c>
      <c r="N24" s="6">
        <v>93</v>
      </c>
      <c r="O24" s="1" t="s">
        <v>33</v>
      </c>
      <c r="P24" s="1">
        <v>0</v>
      </c>
      <c r="Q24" s="1" t="s">
        <v>33</v>
      </c>
      <c r="R24" s="6">
        <v>0</v>
      </c>
      <c r="S24" s="1">
        <v>10</v>
      </c>
      <c r="T24" s="1">
        <v>1</v>
      </c>
      <c r="U24" s="12" t="s">
        <v>22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30.13</v>
      </c>
      <c r="F25" s="6">
        <v>30.15</v>
      </c>
      <c r="G25" s="1">
        <v>59.8</v>
      </c>
      <c r="H25" s="1">
        <v>52.9</v>
      </c>
      <c r="I25" s="1">
        <v>37.799999999999997</v>
      </c>
      <c r="J25" s="6">
        <v>67.900000000000006</v>
      </c>
      <c r="K25" s="5">
        <v>0.372</v>
      </c>
      <c r="L25" s="6">
        <v>0.34899999999999998</v>
      </c>
      <c r="M25" s="1">
        <v>72</v>
      </c>
      <c r="N25" s="6">
        <v>87</v>
      </c>
      <c r="O25" s="1" t="s">
        <v>23</v>
      </c>
      <c r="P25" s="1">
        <v>1</v>
      </c>
      <c r="Q25" s="1" t="s">
        <v>24</v>
      </c>
      <c r="R25" s="6">
        <v>1</v>
      </c>
      <c r="S25" s="1">
        <v>1</v>
      </c>
      <c r="T25" s="1">
        <v>10</v>
      </c>
      <c r="U25" s="12" t="s">
        <v>22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30.15</v>
      </c>
      <c r="F26" s="6">
        <v>30.18</v>
      </c>
      <c r="G26" s="1">
        <v>56.5</v>
      </c>
      <c r="H26" s="1">
        <v>54.1</v>
      </c>
      <c r="I26" s="1">
        <v>50.1</v>
      </c>
      <c r="J26" s="6">
        <v>65.8</v>
      </c>
      <c r="K26" s="5">
        <v>0.36499999999999999</v>
      </c>
      <c r="L26" s="6">
        <v>0.35899999999999999</v>
      </c>
      <c r="M26" s="1">
        <v>80</v>
      </c>
      <c r="N26" s="6">
        <v>86</v>
      </c>
      <c r="O26" s="1" t="s">
        <v>25</v>
      </c>
      <c r="P26" s="1">
        <v>3</v>
      </c>
      <c r="Q26" s="1" t="s">
        <v>25</v>
      </c>
      <c r="R26" s="6">
        <v>1</v>
      </c>
      <c r="S26" s="1">
        <v>8</v>
      </c>
      <c r="T26" s="1">
        <v>10</v>
      </c>
      <c r="U26" s="12" t="s">
        <v>22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30.18</v>
      </c>
      <c r="F27" s="6">
        <v>30.16</v>
      </c>
      <c r="G27" s="1">
        <v>57.7</v>
      </c>
      <c r="H27" s="1">
        <v>53.4</v>
      </c>
      <c r="I27" s="1">
        <v>50</v>
      </c>
      <c r="J27" s="6">
        <v>63.6</v>
      </c>
      <c r="K27" s="5">
        <v>0.35199999999999998</v>
      </c>
      <c r="L27" s="6">
        <v>0.35</v>
      </c>
      <c r="M27" s="1">
        <v>74</v>
      </c>
      <c r="N27" s="6">
        <v>86</v>
      </c>
      <c r="O27" s="1" t="s">
        <v>43</v>
      </c>
      <c r="P27" s="1">
        <v>1</v>
      </c>
      <c r="Q27" s="1" t="s">
        <v>39</v>
      </c>
      <c r="R27" s="6">
        <v>1</v>
      </c>
      <c r="S27" s="1">
        <v>0</v>
      </c>
      <c r="T27" s="1">
        <v>10</v>
      </c>
      <c r="U27" s="12" t="s">
        <v>22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30.07</v>
      </c>
      <c r="F28" s="6">
        <v>29.96</v>
      </c>
      <c r="G28" s="1">
        <v>54.4</v>
      </c>
      <c r="H28" s="1">
        <v>54.9</v>
      </c>
      <c r="I28" s="1">
        <v>52.3</v>
      </c>
      <c r="J28" s="6">
        <v>59.6</v>
      </c>
      <c r="K28" s="5">
        <v>0.34599999999999997</v>
      </c>
      <c r="L28" s="6">
        <v>0.39400000000000002</v>
      </c>
      <c r="M28" s="1">
        <v>82</v>
      </c>
      <c r="N28" s="6">
        <v>92</v>
      </c>
      <c r="O28" s="1" t="s">
        <v>25</v>
      </c>
      <c r="P28" s="1">
        <v>2</v>
      </c>
      <c r="Q28" s="1" t="s">
        <v>43</v>
      </c>
      <c r="R28" s="6">
        <v>1</v>
      </c>
      <c r="S28" s="1">
        <v>10</v>
      </c>
      <c r="T28" s="1">
        <v>10</v>
      </c>
      <c r="U28" s="12">
        <v>0.8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29.78</v>
      </c>
      <c r="F29" s="6">
        <v>29.78</v>
      </c>
      <c r="G29" s="1">
        <v>55.6</v>
      </c>
      <c r="H29" s="1">
        <v>47.2</v>
      </c>
      <c r="I29" s="1">
        <v>46.7</v>
      </c>
      <c r="J29" s="6">
        <v>56</v>
      </c>
      <c r="K29" s="5">
        <v>0.42099999999999999</v>
      </c>
      <c r="L29" s="6">
        <v>0.308</v>
      </c>
      <c r="M29" s="1">
        <v>95</v>
      </c>
      <c r="N29" s="6">
        <v>96</v>
      </c>
      <c r="O29" s="1" t="s">
        <v>39</v>
      </c>
      <c r="P29" s="1">
        <v>1</v>
      </c>
      <c r="Q29" s="1" t="s">
        <v>27</v>
      </c>
      <c r="R29" s="6">
        <v>1</v>
      </c>
      <c r="S29" s="1">
        <v>10</v>
      </c>
      <c r="T29" s="1">
        <v>10</v>
      </c>
      <c r="U29" s="12">
        <v>0.44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29.84</v>
      </c>
      <c r="F30" s="6">
        <v>29.94</v>
      </c>
      <c r="G30" s="1">
        <v>52.3</v>
      </c>
      <c r="H30" s="1">
        <v>48.6</v>
      </c>
      <c r="I30" s="1">
        <v>36.799999999999997</v>
      </c>
      <c r="J30" s="6">
        <v>55.1</v>
      </c>
      <c r="K30" s="5">
        <v>0.27100000000000002</v>
      </c>
      <c r="L30" s="6">
        <v>0.26900000000000002</v>
      </c>
      <c r="M30" s="1">
        <v>70</v>
      </c>
      <c r="N30" s="6">
        <v>79</v>
      </c>
      <c r="O30" s="1" t="s">
        <v>34</v>
      </c>
      <c r="P30" s="1">
        <v>5</v>
      </c>
      <c r="Q30" s="1" t="s">
        <v>27</v>
      </c>
      <c r="R30" s="6" t="s">
        <v>83</v>
      </c>
      <c r="S30" s="1">
        <v>6</v>
      </c>
      <c r="T30" s="1">
        <v>9</v>
      </c>
      <c r="U30" s="12" t="s">
        <v>22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29.94</v>
      </c>
      <c r="F31" s="6">
        <v>29.8</v>
      </c>
      <c r="G31" s="1">
        <v>52.1</v>
      </c>
      <c r="H31" s="1">
        <v>54.9</v>
      </c>
      <c r="I31" s="1">
        <v>36.799999999999997</v>
      </c>
      <c r="J31" s="6">
        <v>55.6</v>
      </c>
      <c r="K31" s="5">
        <v>0.32400000000000001</v>
      </c>
      <c r="L31" s="6">
        <v>0.372</v>
      </c>
      <c r="M31" s="1">
        <v>83</v>
      </c>
      <c r="N31" s="6">
        <v>87</v>
      </c>
      <c r="O31" s="1" t="s">
        <v>25</v>
      </c>
      <c r="P31" s="1">
        <v>1</v>
      </c>
      <c r="Q31" s="1" t="s">
        <v>39</v>
      </c>
      <c r="R31" s="6">
        <v>6</v>
      </c>
      <c r="S31" s="1">
        <v>10</v>
      </c>
      <c r="T31" s="1">
        <v>10</v>
      </c>
      <c r="U31" s="12">
        <v>0.37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29.74</v>
      </c>
      <c r="F32" s="6">
        <v>29.78</v>
      </c>
      <c r="G32" s="1">
        <v>56.9</v>
      </c>
      <c r="H32" s="1">
        <v>51.4</v>
      </c>
      <c r="I32" s="1">
        <v>50.8</v>
      </c>
      <c r="J32" s="6">
        <v>59.2</v>
      </c>
      <c r="K32" s="5">
        <v>0.439</v>
      </c>
      <c r="L32" s="6">
        <v>0.33300000000000002</v>
      </c>
      <c r="M32" s="1">
        <v>95</v>
      </c>
      <c r="N32" s="6">
        <v>88</v>
      </c>
      <c r="O32" s="1" t="s">
        <v>25</v>
      </c>
      <c r="P32" s="1">
        <v>6</v>
      </c>
      <c r="Q32" s="1" t="s">
        <v>43</v>
      </c>
      <c r="R32" s="6">
        <v>3</v>
      </c>
      <c r="S32" s="1">
        <v>10</v>
      </c>
      <c r="T32" s="1">
        <v>8</v>
      </c>
      <c r="U32" s="12">
        <v>0.30499999999999999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29.9</v>
      </c>
      <c r="F33" s="6">
        <v>30.09</v>
      </c>
      <c r="G33" s="1">
        <v>49.5</v>
      </c>
      <c r="H33" s="1">
        <v>49.2</v>
      </c>
      <c r="I33" s="1">
        <v>45.2</v>
      </c>
      <c r="J33" s="6">
        <v>56.2</v>
      </c>
      <c r="K33" s="5">
        <v>0.27400000000000002</v>
      </c>
      <c r="L33" s="6">
        <v>0.315</v>
      </c>
      <c r="M33" s="1">
        <v>78</v>
      </c>
      <c r="N33" s="6">
        <v>91</v>
      </c>
      <c r="O33" s="1" t="s">
        <v>43</v>
      </c>
      <c r="P33" s="1">
        <v>5</v>
      </c>
      <c r="Q33" s="1" t="s">
        <v>26</v>
      </c>
      <c r="R33" s="6">
        <v>1</v>
      </c>
      <c r="S33" s="1">
        <v>8</v>
      </c>
      <c r="T33" s="1">
        <v>7</v>
      </c>
      <c r="U33" s="12">
        <v>0.01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30.09</v>
      </c>
      <c r="F34" s="6">
        <v>30.08</v>
      </c>
      <c r="G34" s="1">
        <v>53</v>
      </c>
      <c r="H34" s="1">
        <v>52.7</v>
      </c>
      <c r="I34" s="1">
        <v>39.9</v>
      </c>
      <c r="J34" s="6">
        <v>60.4</v>
      </c>
      <c r="K34" s="5">
        <v>0.34699999999999998</v>
      </c>
      <c r="L34" s="6">
        <v>0.36499999999999999</v>
      </c>
      <c r="M34" s="1">
        <v>86</v>
      </c>
      <c r="N34" s="6">
        <v>92</v>
      </c>
      <c r="O34" s="1" t="s">
        <v>39</v>
      </c>
      <c r="P34" s="1">
        <v>1</v>
      </c>
      <c r="Q34" s="1" t="s">
        <v>39</v>
      </c>
      <c r="R34" s="6">
        <v>1</v>
      </c>
      <c r="S34" s="1">
        <v>10</v>
      </c>
      <c r="T34" s="1">
        <v>9</v>
      </c>
      <c r="U34" s="12">
        <v>1.4999999999999999E-2</v>
      </c>
    </row>
    <row r="35" spans="1:21" s="1" customFormat="1">
      <c r="A35" s="5" t="s">
        <v>82</v>
      </c>
      <c r="B35" s="1">
        <v>1883</v>
      </c>
      <c r="C35" s="1" t="s">
        <v>20</v>
      </c>
      <c r="D35" s="8">
        <v>31</v>
      </c>
      <c r="E35" s="7">
        <v>29.96</v>
      </c>
      <c r="F35" s="9">
        <v>29.88</v>
      </c>
      <c r="G35" s="8">
        <v>55.2</v>
      </c>
      <c r="H35" s="8">
        <v>51.9</v>
      </c>
      <c r="I35" s="8">
        <v>50.9</v>
      </c>
      <c r="J35" s="9">
        <v>60.4</v>
      </c>
      <c r="K35" s="7">
        <v>0.4</v>
      </c>
      <c r="L35" s="9">
        <v>0.35699999999999998</v>
      </c>
      <c r="M35" s="8">
        <v>92</v>
      </c>
      <c r="N35" s="9">
        <v>93</v>
      </c>
      <c r="O35" s="8" t="s">
        <v>39</v>
      </c>
      <c r="P35" s="8">
        <v>2</v>
      </c>
      <c r="Q35" s="8" t="s">
        <v>25</v>
      </c>
      <c r="R35" s="9">
        <v>4</v>
      </c>
      <c r="S35" s="8">
        <v>9</v>
      </c>
      <c r="T35" s="8">
        <v>10</v>
      </c>
      <c r="U35" s="13">
        <v>8.5000000000000006E-2</v>
      </c>
    </row>
    <row r="36" spans="1:21" s="1" customFormat="1">
      <c r="A36" s="14"/>
      <c r="B36" s="15"/>
      <c r="C36" s="15"/>
      <c r="D36" s="16" t="s">
        <v>30</v>
      </c>
      <c r="E36" s="15">
        <v>29.972000000000001</v>
      </c>
      <c r="F36" s="16">
        <v>29.977</v>
      </c>
      <c r="G36" s="14">
        <v>50.9</v>
      </c>
      <c r="H36" s="15">
        <v>48.5</v>
      </c>
      <c r="I36" s="15">
        <v>40.6</v>
      </c>
      <c r="J36" s="16">
        <v>57.2</v>
      </c>
      <c r="K36" s="15">
        <v>0.29599999999999999</v>
      </c>
      <c r="L36" s="15">
        <v>0.29599999999999999</v>
      </c>
      <c r="M36" s="14">
        <v>78.5</v>
      </c>
      <c r="N36" s="16">
        <v>86.1</v>
      </c>
      <c r="O36" s="14" t="s">
        <v>22</v>
      </c>
      <c r="P36" s="15">
        <v>2.8</v>
      </c>
      <c r="Q36" s="15" t="s">
        <v>22</v>
      </c>
      <c r="R36" s="16">
        <v>1.8</v>
      </c>
      <c r="S36" s="14">
        <v>7</v>
      </c>
      <c r="T36" s="16">
        <v>7.6</v>
      </c>
      <c r="U36" s="17">
        <v>3.915</v>
      </c>
    </row>
    <row r="37" spans="1:21">
      <c r="E37">
        <f>SUM(E5:E35)/31</f>
        <v>29.972580645161297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H7Q62YT2XCZT-908671883-47704</_dlc_DocId>
    <_dlc_DocIdUrl xmlns="502a79df-4f52-4757-ac2f-753e065f4c93">
      <Url>https://metoffice.sharepoint.com/sites/metofficelibraryarchiveteam/_layouts/15/DocIdRedir.aspx?ID=H7Q62YT2XCZT-908671883-47704</Url>
      <Description>H7Q62YT2XCZT-908671883-47704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AA570F-9676-49F9-9151-4244273858B8}"/>
</file>

<file path=customXml/itemProps2.xml><?xml version="1.0" encoding="utf-8"?>
<ds:datastoreItem xmlns:ds="http://schemas.openxmlformats.org/officeDocument/2006/customXml" ds:itemID="{87144ED7-EADC-4987-AEA6-84F5032BD61F}"/>
</file>

<file path=customXml/itemProps3.xml><?xml version="1.0" encoding="utf-8"?>
<ds:datastoreItem xmlns:ds="http://schemas.openxmlformats.org/officeDocument/2006/customXml" ds:itemID="{37504570-BFED-402B-9995-BC94451CA335}"/>
</file>

<file path=customXml/itemProps4.xml><?xml version="1.0" encoding="utf-8"?>
<ds:datastoreItem xmlns:ds="http://schemas.openxmlformats.org/officeDocument/2006/customXml" ds:itemID="{9505B43A-A7A6-4906-BA4A-6D6065F35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2025-07-02T15:48:30Z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9bf8b2c6-5307-4e3c-9b3f-6ce80e703342</vt:lpwstr>
  </property>
</Properties>
</file>