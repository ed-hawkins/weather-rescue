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ed/Documents/GitHub/weather-rescue/second-order/1899/"/>
    </mc:Choice>
  </mc:AlternateContent>
  <xr:revisionPtr revIDLastSave="0" documentId="13_ncr:1_{AADC47D4-3A68-CE45-BD30-F4707122D32D}" xr6:coauthVersionLast="47" xr6:coauthVersionMax="47" xr10:uidLastSave="{00000000-0000-0000-0000-000000000000}"/>
  <bookViews>
    <workbookView xWindow="3120" yWindow="3120" windowWidth="21600" windowHeight="11320" tabRatio="832" activeTab="2" xr2:uid="{F301734F-2AF4-4BAC-817B-B629B6303572}"/>
  </bookViews>
  <sheets>
    <sheet name="Deerness" sheetId="15" r:id="rId1"/>
    <sheet name="Dunrobin Castle" sheetId="16" r:id="rId2"/>
    <sheet name="Braemar" sheetId="1" r:id="rId3"/>
    <sheet name="Laudale" sheetId="17" r:id="rId4"/>
    <sheet name="Dundee" sheetId="25" r:id="rId5"/>
    <sheet name="Glasgow" sheetId="26" r:id="rId6"/>
    <sheet name="Ladylaw" sheetId="27" r:id="rId7"/>
    <sheet name="Scarborough" sheetId="28" r:id="rId8"/>
    <sheet name="Cronkbourne" sheetId="29" r:id="rId9"/>
    <sheet name="Stonyhurst" sheetId="30" r:id="rId10"/>
    <sheet name="Hillington" sheetId="41" r:id="rId11"/>
    <sheet name="St David's Pembroke" sheetId="32" r:id="rId12"/>
    <sheet name="Churchstoke " sheetId="31" r:id="rId13"/>
    <sheet name="Woolacombe" sheetId="33" r:id="rId14"/>
    <sheet name="Southampton" sheetId="34" r:id="rId15"/>
    <sheet name="Plymouth" sheetId="35" r:id="rId16"/>
    <sheet name="Armagh" sheetId="37" r:id="rId17"/>
    <sheet name="Markree Castle" sheetId="38" r:id="rId18"/>
    <sheet name="Dublin (Phoenix Park)" sheetId="39" r:id="rId19"/>
    <sheet name="Parsonstown" sheetId="40" r:id="rId2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" i="41" l="1"/>
  <c r="F34" i="40"/>
  <c r="E34" i="40"/>
  <c r="F34" i="39"/>
  <c r="E34" i="39"/>
  <c r="F34" i="37"/>
  <c r="E34" i="37"/>
  <c r="E34" i="33"/>
  <c r="F34" i="31"/>
  <c r="E34" i="31"/>
  <c r="E34" i="30"/>
  <c r="F34" i="29"/>
  <c r="I34" i="28"/>
  <c r="F34" i="28"/>
  <c r="E34" i="28"/>
  <c r="F34" i="26"/>
  <c r="P34" i="25"/>
  <c r="O34" i="25"/>
  <c r="E34" i="1"/>
  <c r="F34" i="16"/>
  <c r="E34" i="16"/>
</calcChain>
</file>

<file path=xl/sharedStrings.xml><?xml version="1.0" encoding="utf-8"?>
<sst xmlns="http://schemas.openxmlformats.org/spreadsheetml/2006/main" count="3350" uniqueCount="80">
  <si>
    <t>Barometer</t>
  </si>
  <si>
    <t>Air Temperature F</t>
  </si>
  <si>
    <t>Humidity</t>
  </si>
  <si>
    <t>Wind, Direction, and Force</t>
  </si>
  <si>
    <t>Amount of Cloud</t>
  </si>
  <si>
    <t>Rainfall ins</t>
  </si>
  <si>
    <t>Dep. Of Wet</t>
  </si>
  <si>
    <t>Vapour Tension</t>
  </si>
  <si>
    <t>Percentage</t>
  </si>
  <si>
    <t>Station</t>
  </si>
  <si>
    <t>Year</t>
  </si>
  <si>
    <t>Month</t>
  </si>
  <si>
    <t>Date</t>
  </si>
  <si>
    <t>9am</t>
  </si>
  <si>
    <t>9pm</t>
  </si>
  <si>
    <t>Min.</t>
  </si>
  <si>
    <t>Max.</t>
  </si>
  <si>
    <t>9am (dir)</t>
  </si>
  <si>
    <t>9am (for)</t>
  </si>
  <si>
    <t>9pm (dir)</t>
  </si>
  <si>
    <t>9pm (for)</t>
  </si>
  <si>
    <t>Deerness</t>
  </si>
  <si>
    <t>February</t>
  </si>
  <si>
    <t>NNE</t>
  </si>
  <si>
    <t>N</t>
  </si>
  <si>
    <t>ND</t>
  </si>
  <si>
    <t>NbyW</t>
  </si>
  <si>
    <t>NNW</t>
  </si>
  <si>
    <t>WNW</t>
  </si>
  <si>
    <t>NW</t>
  </si>
  <si>
    <t>ENE</t>
  </si>
  <si>
    <t>SE</t>
  </si>
  <si>
    <t>SSE</t>
  </si>
  <si>
    <t>ESE</t>
  </si>
  <si>
    <t>SEbyS</t>
  </si>
  <si>
    <t>SW</t>
  </si>
  <si>
    <t>Calm</t>
  </si>
  <si>
    <t>WbyS</t>
  </si>
  <si>
    <t>S</t>
  </si>
  <si>
    <t>SSW</t>
  </si>
  <si>
    <t>SbyW</t>
  </si>
  <si>
    <t>SWbyW</t>
  </si>
  <si>
    <t>WSW</t>
  </si>
  <si>
    <t>E</t>
  </si>
  <si>
    <t>W</t>
  </si>
  <si>
    <t>Means</t>
  </si>
  <si>
    <t>Dunrobin Castle</t>
  </si>
  <si>
    <t>NE</t>
  </si>
  <si>
    <t>Braemar</t>
  </si>
  <si>
    <t>Laudale</t>
  </si>
  <si>
    <t>Dundee</t>
  </si>
  <si>
    <t>Glasgow</t>
  </si>
  <si>
    <t>Ladylaw</t>
  </si>
  <si>
    <t>Scarborough</t>
  </si>
  <si>
    <t>Cronkbourne</t>
  </si>
  <si>
    <t>5-6</t>
  </si>
  <si>
    <t>6-7</t>
  </si>
  <si>
    <t>7-8</t>
  </si>
  <si>
    <t>4-5</t>
  </si>
  <si>
    <t>3-4</t>
  </si>
  <si>
    <t>4-6</t>
  </si>
  <si>
    <t>Stonyhurst</t>
  </si>
  <si>
    <t>NbyE</t>
  </si>
  <si>
    <t>NEbyE</t>
  </si>
  <si>
    <t>SEbyE</t>
  </si>
  <si>
    <t>SbyE</t>
  </si>
  <si>
    <t>SWbyS</t>
  </si>
  <si>
    <t>NEbyN</t>
  </si>
  <si>
    <t>EbyN</t>
  </si>
  <si>
    <t>Hillington</t>
  </si>
  <si>
    <t>St David's</t>
  </si>
  <si>
    <t>Churchstoke</t>
  </si>
  <si>
    <t>Woolacombe</t>
  </si>
  <si>
    <t>Southampton</t>
  </si>
  <si>
    <t>Plymouth</t>
  </si>
  <si>
    <t>Armagh</t>
  </si>
  <si>
    <t>Markree Castle</t>
  </si>
  <si>
    <t>Dublin Phoenix Park</t>
  </si>
  <si>
    <t>Parsonstown</t>
  </si>
  <si>
    <t>//////////////////////////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</si>
</sst>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7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49" fontId="0" fillId="0" borderId="3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49" fontId="0" fillId="0" borderId="0" xfId="0" applyNumberFormat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4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4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08655-B436-409A-BEA1-C15E2C901F28}">
  <dimension ref="A2:W33"/>
  <sheetViews>
    <sheetView topLeftCell="A15" workbookViewId="0">
      <selection activeCell="X34" sqref="X34"/>
    </sheetView>
  </sheetViews>
  <sheetFormatPr baseColWidth="10" defaultColWidth="8.83203125" defaultRowHeight="15" x14ac:dyDescent="0.2"/>
  <cols>
    <col min="1" max="1" width="12.6640625" customWidth="1"/>
  </cols>
  <sheetData>
    <row r="2" spans="1:23" s="2" customFormat="1" ht="32" x14ac:dyDescent="0.2">
      <c r="A2" s="14"/>
      <c r="B2" s="15"/>
      <c r="C2" s="15"/>
      <c r="D2" s="15"/>
      <c r="E2" s="31" t="s">
        <v>0</v>
      </c>
      <c r="F2" s="32"/>
      <c r="G2" s="33" t="s">
        <v>1</v>
      </c>
      <c r="H2" s="33"/>
      <c r="I2" s="33"/>
      <c r="J2" s="34"/>
      <c r="K2" s="29" t="s">
        <v>2</v>
      </c>
      <c r="L2" s="33"/>
      <c r="M2" s="33"/>
      <c r="N2" s="33"/>
      <c r="O2" s="33"/>
      <c r="P2" s="34"/>
      <c r="Q2" s="33" t="s">
        <v>3</v>
      </c>
      <c r="R2" s="33"/>
      <c r="S2" s="33"/>
      <c r="T2" s="34"/>
      <c r="U2" s="29" t="s">
        <v>4</v>
      </c>
      <c r="V2" s="30"/>
      <c r="W2" s="7" t="s">
        <v>5</v>
      </c>
    </row>
    <row r="3" spans="1:23" s="2" customFormat="1" x14ac:dyDescent="0.2">
      <c r="A3" s="3"/>
      <c r="E3" s="16"/>
      <c r="F3" s="17"/>
      <c r="J3" s="4"/>
      <c r="K3" s="35" t="s">
        <v>6</v>
      </c>
      <c r="L3" s="36"/>
      <c r="M3" s="35" t="s">
        <v>7</v>
      </c>
      <c r="N3" s="36"/>
      <c r="O3" s="37" t="s">
        <v>8</v>
      </c>
      <c r="P3" s="38"/>
      <c r="T3" s="4"/>
      <c r="V3" s="1"/>
      <c r="W3" s="18"/>
    </row>
    <row r="4" spans="1:23" s="2" customFormat="1" x14ac:dyDescent="0.2">
      <c r="A4" s="3" t="s">
        <v>9</v>
      </c>
      <c r="B4" s="2" t="s">
        <v>10</v>
      </c>
      <c r="C4" s="2" t="s">
        <v>11</v>
      </c>
      <c r="D4" s="2" t="s">
        <v>12</v>
      </c>
      <c r="E4" s="3" t="s">
        <v>13</v>
      </c>
      <c r="F4" s="4" t="s">
        <v>14</v>
      </c>
      <c r="G4" s="2" t="s">
        <v>13</v>
      </c>
      <c r="H4" s="2" t="s">
        <v>14</v>
      </c>
      <c r="I4" s="2" t="s">
        <v>15</v>
      </c>
      <c r="J4" s="4" t="s">
        <v>16</v>
      </c>
      <c r="K4" s="2" t="s">
        <v>13</v>
      </c>
      <c r="L4" s="4" t="s">
        <v>14</v>
      </c>
      <c r="M4" s="3" t="s">
        <v>13</v>
      </c>
      <c r="N4" s="4" t="s">
        <v>14</v>
      </c>
      <c r="O4" s="2" t="s">
        <v>13</v>
      </c>
      <c r="P4" s="4" t="s">
        <v>14</v>
      </c>
      <c r="Q4" s="2" t="s">
        <v>17</v>
      </c>
      <c r="R4" s="2" t="s">
        <v>18</v>
      </c>
      <c r="S4" s="2" t="s">
        <v>19</v>
      </c>
      <c r="T4" s="4" t="s">
        <v>20</v>
      </c>
      <c r="U4" s="2" t="s">
        <v>13</v>
      </c>
      <c r="V4" s="2" t="s">
        <v>14</v>
      </c>
      <c r="W4" s="8" t="s">
        <v>13</v>
      </c>
    </row>
    <row r="5" spans="1:23" s="1" customFormat="1" x14ac:dyDescent="0.2">
      <c r="A5" s="5" t="s">
        <v>21</v>
      </c>
      <c r="B5" s="1">
        <v>1899</v>
      </c>
      <c r="C5" s="1" t="s">
        <v>22</v>
      </c>
      <c r="D5" s="1">
        <v>1</v>
      </c>
      <c r="E5" s="5">
        <v>29.39</v>
      </c>
      <c r="F5" s="6">
        <v>29.42</v>
      </c>
      <c r="G5" s="1">
        <v>37</v>
      </c>
      <c r="H5" s="1">
        <v>35.200000000000003</v>
      </c>
      <c r="I5" s="1">
        <v>33.5</v>
      </c>
      <c r="J5" s="6">
        <v>37.799999999999997</v>
      </c>
      <c r="K5" s="1">
        <v>3</v>
      </c>
      <c r="L5" s="6">
        <v>3.2</v>
      </c>
      <c r="M5" s="5">
        <v>0.16500000000000001</v>
      </c>
      <c r="N5" s="6">
        <v>0.14699999999999999</v>
      </c>
      <c r="O5" s="1">
        <v>75</v>
      </c>
      <c r="P5" s="6">
        <v>71</v>
      </c>
      <c r="Q5" s="1" t="s">
        <v>23</v>
      </c>
      <c r="R5" s="1">
        <v>6</v>
      </c>
      <c r="S5" s="1" t="s">
        <v>24</v>
      </c>
      <c r="T5" s="6">
        <v>4</v>
      </c>
      <c r="U5" s="1">
        <v>3</v>
      </c>
      <c r="V5" s="1">
        <v>1</v>
      </c>
      <c r="W5" s="9" t="s">
        <v>25</v>
      </c>
    </row>
    <row r="6" spans="1:23" s="1" customFormat="1" x14ac:dyDescent="0.2">
      <c r="A6" s="5" t="s">
        <v>21</v>
      </c>
      <c r="B6" s="1">
        <v>1899</v>
      </c>
      <c r="C6" s="1" t="s">
        <v>22</v>
      </c>
      <c r="D6" s="1">
        <v>2</v>
      </c>
      <c r="E6" s="5">
        <v>29.44</v>
      </c>
      <c r="F6" s="6">
        <v>29.54</v>
      </c>
      <c r="G6" s="1">
        <v>34.1</v>
      </c>
      <c r="H6" s="1">
        <v>35</v>
      </c>
      <c r="I6" s="1">
        <v>30.8</v>
      </c>
      <c r="J6" s="6">
        <v>36.5</v>
      </c>
      <c r="K6" s="1">
        <v>2.1</v>
      </c>
      <c r="L6" s="6">
        <v>1.7</v>
      </c>
      <c r="M6" s="5">
        <v>0.155</v>
      </c>
      <c r="N6" s="6">
        <v>0.17</v>
      </c>
      <c r="O6" s="1">
        <v>78</v>
      </c>
      <c r="P6" s="6">
        <v>83</v>
      </c>
      <c r="Q6" s="1" t="s">
        <v>26</v>
      </c>
      <c r="R6" s="1">
        <v>4</v>
      </c>
      <c r="S6" s="1" t="s">
        <v>27</v>
      </c>
      <c r="T6" s="6">
        <v>2</v>
      </c>
      <c r="U6" s="1">
        <v>4</v>
      </c>
      <c r="V6" s="1">
        <v>10</v>
      </c>
      <c r="W6" s="9" t="s">
        <v>25</v>
      </c>
    </row>
    <row r="7" spans="1:23" s="1" customFormat="1" x14ac:dyDescent="0.2">
      <c r="A7" s="5" t="s">
        <v>21</v>
      </c>
      <c r="B7" s="1">
        <v>1899</v>
      </c>
      <c r="C7" s="1" t="s">
        <v>22</v>
      </c>
      <c r="D7" s="1">
        <v>3</v>
      </c>
      <c r="E7" s="5">
        <v>29.61</v>
      </c>
      <c r="F7" s="6">
        <v>29.67</v>
      </c>
      <c r="G7" s="1">
        <v>35</v>
      </c>
      <c r="H7" s="1">
        <v>34.4</v>
      </c>
      <c r="I7" s="1">
        <v>32.200000000000003</v>
      </c>
      <c r="J7" s="6">
        <v>37</v>
      </c>
      <c r="K7" s="1">
        <v>1.4</v>
      </c>
      <c r="L7" s="6">
        <v>1.4</v>
      </c>
      <c r="M7" s="5">
        <v>0.17599999999999999</v>
      </c>
      <c r="N7" s="6">
        <v>0.17100000000000001</v>
      </c>
      <c r="O7" s="1">
        <v>86</v>
      </c>
      <c r="P7" s="6">
        <v>85</v>
      </c>
      <c r="Q7" s="1" t="s">
        <v>27</v>
      </c>
      <c r="R7" s="1">
        <v>2</v>
      </c>
      <c r="S7" s="1" t="s">
        <v>27</v>
      </c>
      <c r="T7" s="6">
        <v>1</v>
      </c>
      <c r="U7" s="1">
        <v>9</v>
      </c>
      <c r="V7" s="1">
        <v>10</v>
      </c>
      <c r="W7" s="9">
        <v>0.04</v>
      </c>
    </row>
    <row r="8" spans="1:23" s="1" customFormat="1" x14ac:dyDescent="0.2">
      <c r="A8" s="5" t="s">
        <v>21</v>
      </c>
      <c r="B8" s="1">
        <v>1899</v>
      </c>
      <c r="C8" s="1" t="s">
        <v>22</v>
      </c>
      <c r="D8" s="1">
        <v>4</v>
      </c>
      <c r="E8" s="5">
        <v>29.64</v>
      </c>
      <c r="F8" s="6">
        <v>29.53</v>
      </c>
      <c r="G8" s="1">
        <v>35</v>
      </c>
      <c r="H8" s="1">
        <v>35.4</v>
      </c>
      <c r="I8" s="1">
        <v>32.299999999999997</v>
      </c>
      <c r="J8" s="6">
        <v>38</v>
      </c>
      <c r="K8" s="1">
        <v>2</v>
      </c>
      <c r="L8" s="6">
        <v>3.2</v>
      </c>
      <c r="M8" s="5">
        <v>0.16400000000000001</v>
      </c>
      <c r="N8" s="6">
        <v>0.14899999999999999</v>
      </c>
      <c r="O8" s="1">
        <v>80</v>
      </c>
      <c r="P8" s="6">
        <v>72</v>
      </c>
      <c r="Q8" s="1" t="s">
        <v>28</v>
      </c>
      <c r="R8" s="1">
        <v>1</v>
      </c>
      <c r="S8" s="1" t="s">
        <v>29</v>
      </c>
      <c r="T8" s="6">
        <v>1</v>
      </c>
      <c r="U8" s="1">
        <v>9</v>
      </c>
      <c r="V8" s="1">
        <v>10</v>
      </c>
      <c r="W8" s="9">
        <v>0.1</v>
      </c>
    </row>
    <row r="9" spans="1:23" s="1" customFormat="1" x14ac:dyDescent="0.2">
      <c r="A9" s="5" t="s">
        <v>21</v>
      </c>
      <c r="B9" s="1">
        <v>1899</v>
      </c>
      <c r="C9" s="1" t="s">
        <v>22</v>
      </c>
      <c r="D9" s="1">
        <v>5</v>
      </c>
      <c r="E9" s="5">
        <v>29.58</v>
      </c>
      <c r="F9" s="6">
        <v>29.73</v>
      </c>
      <c r="G9" s="1">
        <v>29</v>
      </c>
      <c r="H9" s="1">
        <v>32.299999999999997</v>
      </c>
      <c r="I9" s="1">
        <v>28.2</v>
      </c>
      <c r="J9" s="6">
        <v>36.799999999999997</v>
      </c>
      <c r="K9" s="1">
        <v>3.8</v>
      </c>
      <c r="L9" s="6">
        <v>1</v>
      </c>
      <c r="M9" s="5">
        <v>7.1999999999999995E-2</v>
      </c>
      <c r="N9" s="6">
        <v>0.161</v>
      </c>
      <c r="O9" s="1">
        <v>45</v>
      </c>
      <c r="P9" s="6">
        <v>88</v>
      </c>
      <c r="Q9" s="1" t="s">
        <v>23</v>
      </c>
      <c r="R9" s="1">
        <v>5</v>
      </c>
      <c r="S9" s="1" t="s">
        <v>30</v>
      </c>
      <c r="T9" s="6">
        <v>3</v>
      </c>
      <c r="U9" s="1">
        <v>7</v>
      </c>
      <c r="V9" s="1">
        <v>5</v>
      </c>
      <c r="W9" s="9" t="s">
        <v>25</v>
      </c>
    </row>
    <row r="10" spans="1:23" s="1" customFormat="1" x14ac:dyDescent="0.2">
      <c r="A10" s="5" t="s">
        <v>21</v>
      </c>
      <c r="B10" s="1">
        <v>1899</v>
      </c>
      <c r="C10" s="1" t="s">
        <v>22</v>
      </c>
      <c r="D10" s="1">
        <v>6</v>
      </c>
      <c r="E10" s="5">
        <v>29.72</v>
      </c>
      <c r="F10" s="6">
        <v>29.48</v>
      </c>
      <c r="G10" s="1">
        <v>36</v>
      </c>
      <c r="H10" s="1">
        <v>37</v>
      </c>
      <c r="I10" s="1">
        <v>31</v>
      </c>
      <c r="J10" s="6">
        <v>38.4</v>
      </c>
      <c r="K10" s="1">
        <v>4</v>
      </c>
      <c r="L10" s="6">
        <v>1.4</v>
      </c>
      <c r="M10" s="5">
        <v>0.14199999999999999</v>
      </c>
      <c r="N10" s="6">
        <v>0.193</v>
      </c>
      <c r="O10" s="1">
        <v>66</v>
      </c>
      <c r="P10" s="6">
        <v>88</v>
      </c>
      <c r="Q10" s="1" t="s">
        <v>31</v>
      </c>
      <c r="R10" s="1">
        <v>5</v>
      </c>
      <c r="S10" s="1" t="s">
        <v>32</v>
      </c>
      <c r="T10" s="6">
        <v>6</v>
      </c>
      <c r="U10" s="1">
        <v>9</v>
      </c>
      <c r="V10" s="1">
        <v>8</v>
      </c>
      <c r="W10" s="9">
        <v>0.06</v>
      </c>
    </row>
    <row r="11" spans="1:23" s="1" customFormat="1" x14ac:dyDescent="0.2">
      <c r="A11" s="5" t="s">
        <v>21</v>
      </c>
      <c r="B11" s="1">
        <v>1899</v>
      </c>
      <c r="C11" s="1" t="s">
        <v>22</v>
      </c>
      <c r="D11" s="1">
        <v>7</v>
      </c>
      <c r="E11" s="5">
        <v>29.29</v>
      </c>
      <c r="F11" s="6">
        <v>29.14</v>
      </c>
      <c r="G11" s="1">
        <v>37.799999999999997</v>
      </c>
      <c r="H11" s="1">
        <v>37</v>
      </c>
      <c r="I11" s="1">
        <v>35</v>
      </c>
      <c r="J11" s="6">
        <v>39</v>
      </c>
      <c r="K11" s="1">
        <v>3.4</v>
      </c>
      <c r="L11" s="6">
        <v>0.6</v>
      </c>
      <c r="M11" s="5">
        <v>0.16500000000000001</v>
      </c>
      <c r="N11" s="6">
        <v>0.20799999999999999</v>
      </c>
      <c r="O11" s="1">
        <v>72</v>
      </c>
      <c r="P11" s="6">
        <v>95</v>
      </c>
      <c r="Q11" s="1" t="s">
        <v>31</v>
      </c>
      <c r="R11" s="1">
        <v>7</v>
      </c>
      <c r="S11" s="1" t="s">
        <v>33</v>
      </c>
      <c r="T11" s="6">
        <v>7</v>
      </c>
      <c r="U11" s="1">
        <v>10</v>
      </c>
      <c r="V11" s="1">
        <v>10</v>
      </c>
      <c r="W11" s="9" t="s">
        <v>25</v>
      </c>
    </row>
    <row r="12" spans="1:23" s="1" customFormat="1" x14ac:dyDescent="0.2">
      <c r="A12" s="5" t="s">
        <v>21</v>
      </c>
      <c r="B12" s="1">
        <v>1899</v>
      </c>
      <c r="C12" s="1" t="s">
        <v>22</v>
      </c>
      <c r="D12" s="1">
        <v>8</v>
      </c>
      <c r="E12" s="5">
        <v>29</v>
      </c>
      <c r="F12" s="6">
        <v>28.81</v>
      </c>
      <c r="G12" s="1">
        <v>43.2</v>
      </c>
      <c r="H12" s="1">
        <v>43</v>
      </c>
      <c r="I12" s="1">
        <v>37</v>
      </c>
      <c r="J12" s="6">
        <v>43.8</v>
      </c>
      <c r="K12" s="1">
        <v>0.7</v>
      </c>
      <c r="L12" s="6">
        <v>1</v>
      </c>
      <c r="M12" s="5">
        <v>0.26400000000000001</v>
      </c>
      <c r="N12" s="6">
        <v>0.255</v>
      </c>
      <c r="O12" s="1">
        <v>94</v>
      </c>
      <c r="P12" s="6">
        <v>92</v>
      </c>
      <c r="Q12" s="1" t="s">
        <v>31</v>
      </c>
      <c r="R12" s="1">
        <v>7</v>
      </c>
      <c r="S12" s="1" t="s">
        <v>34</v>
      </c>
      <c r="T12" s="6">
        <v>4</v>
      </c>
      <c r="U12" s="1">
        <v>10</v>
      </c>
      <c r="V12" s="1">
        <v>4</v>
      </c>
      <c r="W12" s="9">
        <v>8.5000000000000006E-2</v>
      </c>
    </row>
    <row r="13" spans="1:23" s="1" customFormat="1" x14ac:dyDescent="0.2">
      <c r="A13" s="5" t="s">
        <v>21</v>
      </c>
      <c r="B13" s="1">
        <v>1899</v>
      </c>
      <c r="C13" s="1" t="s">
        <v>22</v>
      </c>
      <c r="D13" s="1">
        <v>9</v>
      </c>
      <c r="E13" s="5">
        <v>28.72</v>
      </c>
      <c r="F13" s="6">
        <v>28.84</v>
      </c>
      <c r="G13" s="1">
        <v>41.8</v>
      </c>
      <c r="H13" s="1">
        <v>42.8</v>
      </c>
      <c r="I13" s="1">
        <v>40</v>
      </c>
      <c r="J13" s="6">
        <v>45.3</v>
      </c>
      <c r="K13" s="1">
        <v>1.5</v>
      </c>
      <c r="L13" s="6">
        <v>1.3</v>
      </c>
      <c r="M13" s="5">
        <v>0.23300000000000001</v>
      </c>
      <c r="N13" s="6">
        <v>0.247</v>
      </c>
      <c r="O13" s="1">
        <v>88</v>
      </c>
      <c r="P13" s="6">
        <v>90</v>
      </c>
      <c r="Q13" s="1" t="s">
        <v>35</v>
      </c>
      <c r="R13" s="1">
        <v>4</v>
      </c>
      <c r="S13" s="1" t="s">
        <v>32</v>
      </c>
      <c r="T13" s="6">
        <v>1</v>
      </c>
      <c r="U13" s="1">
        <v>9</v>
      </c>
      <c r="V13" s="1">
        <v>10</v>
      </c>
      <c r="W13" s="9">
        <v>0.18</v>
      </c>
    </row>
    <row r="14" spans="1:23" s="1" customFormat="1" x14ac:dyDescent="0.2">
      <c r="A14" s="5" t="s">
        <v>21</v>
      </c>
      <c r="B14" s="1">
        <v>1899</v>
      </c>
      <c r="C14" s="1" t="s">
        <v>22</v>
      </c>
      <c r="D14" s="1">
        <v>10</v>
      </c>
      <c r="E14" s="5">
        <v>28.87</v>
      </c>
      <c r="F14" s="6">
        <v>28.78</v>
      </c>
      <c r="G14" s="1">
        <v>42.4</v>
      </c>
      <c r="H14" s="1">
        <v>41.6</v>
      </c>
      <c r="I14" s="1">
        <v>40.200000000000003</v>
      </c>
      <c r="J14" s="6">
        <v>45.4</v>
      </c>
      <c r="K14" s="1">
        <v>0.4</v>
      </c>
      <c r="L14" s="6">
        <v>0.6</v>
      </c>
      <c r="M14" s="5">
        <v>0.26200000000000001</v>
      </c>
      <c r="N14" s="6">
        <v>0.25</v>
      </c>
      <c r="O14" s="1">
        <v>97</v>
      </c>
      <c r="P14" s="6">
        <v>95</v>
      </c>
      <c r="Q14" s="1" t="s">
        <v>24</v>
      </c>
      <c r="R14" s="1">
        <v>2</v>
      </c>
      <c r="S14" s="1" t="s">
        <v>36</v>
      </c>
      <c r="T14" s="6">
        <v>0</v>
      </c>
      <c r="U14" s="1">
        <v>9</v>
      </c>
      <c r="V14" s="1">
        <v>8</v>
      </c>
      <c r="W14" s="9">
        <v>0.1</v>
      </c>
    </row>
    <row r="15" spans="1:23" s="1" customFormat="1" x14ac:dyDescent="0.2">
      <c r="A15" s="5" t="s">
        <v>21</v>
      </c>
      <c r="B15" s="1">
        <v>1899</v>
      </c>
      <c r="C15" s="1" t="s">
        <v>22</v>
      </c>
      <c r="D15" s="1">
        <v>11</v>
      </c>
      <c r="E15" s="5">
        <v>28.86</v>
      </c>
      <c r="F15" s="6">
        <v>28.86</v>
      </c>
      <c r="G15" s="1">
        <v>41.8</v>
      </c>
      <c r="H15" s="1">
        <v>44.3</v>
      </c>
      <c r="I15" s="1">
        <v>40</v>
      </c>
      <c r="J15" s="6">
        <v>44.6</v>
      </c>
      <c r="K15" s="1">
        <v>0.6</v>
      </c>
      <c r="L15" s="6">
        <v>0.8</v>
      </c>
      <c r="M15" s="5">
        <v>0.251</v>
      </c>
      <c r="N15" s="6">
        <v>0.27300000000000002</v>
      </c>
      <c r="O15" s="1">
        <v>96</v>
      </c>
      <c r="P15" s="6">
        <v>94</v>
      </c>
      <c r="Q15" s="1" t="s">
        <v>24</v>
      </c>
      <c r="R15" s="1">
        <v>1</v>
      </c>
      <c r="S15" s="1" t="s">
        <v>31</v>
      </c>
      <c r="T15" s="6">
        <v>4</v>
      </c>
      <c r="U15" s="1">
        <v>9</v>
      </c>
      <c r="V15" s="1">
        <v>9</v>
      </c>
      <c r="W15" s="9">
        <v>0.115</v>
      </c>
    </row>
    <row r="16" spans="1:23" s="1" customFormat="1" x14ac:dyDescent="0.2">
      <c r="A16" s="5" t="s">
        <v>21</v>
      </c>
      <c r="B16" s="1">
        <v>1899</v>
      </c>
      <c r="C16" s="1" t="s">
        <v>22</v>
      </c>
      <c r="D16" s="1">
        <v>12</v>
      </c>
      <c r="E16" s="5">
        <v>28.66</v>
      </c>
      <c r="F16" s="6">
        <v>28.78</v>
      </c>
      <c r="G16" s="1">
        <v>44</v>
      </c>
      <c r="H16" s="1">
        <v>44</v>
      </c>
      <c r="I16" s="1">
        <v>41.4</v>
      </c>
      <c r="J16" s="6">
        <v>45</v>
      </c>
      <c r="K16" s="1">
        <v>0</v>
      </c>
      <c r="L16" s="6">
        <v>0.5</v>
      </c>
      <c r="M16" s="5">
        <v>0.28799999999999998</v>
      </c>
      <c r="N16" s="6">
        <v>0.27700000000000002</v>
      </c>
      <c r="O16" s="1">
        <v>100</v>
      </c>
      <c r="P16" s="6">
        <v>96</v>
      </c>
      <c r="Q16" s="1" t="s">
        <v>33</v>
      </c>
      <c r="R16" s="1">
        <v>3</v>
      </c>
      <c r="S16" s="1" t="s">
        <v>37</v>
      </c>
      <c r="T16" s="6">
        <v>4</v>
      </c>
      <c r="U16" s="1">
        <v>10</v>
      </c>
      <c r="V16" s="1">
        <v>10</v>
      </c>
      <c r="W16" s="9">
        <v>0.255</v>
      </c>
    </row>
    <row r="17" spans="1:23" s="1" customFormat="1" x14ac:dyDescent="0.2">
      <c r="A17" s="5" t="s">
        <v>21</v>
      </c>
      <c r="B17" s="1">
        <v>1899</v>
      </c>
      <c r="C17" s="1" t="s">
        <v>22</v>
      </c>
      <c r="D17" s="1">
        <v>13</v>
      </c>
      <c r="E17" s="5">
        <v>28.83</v>
      </c>
      <c r="F17" s="6">
        <v>28.48</v>
      </c>
      <c r="G17" s="1">
        <v>42</v>
      </c>
      <c r="H17" s="1">
        <v>44</v>
      </c>
      <c r="I17" s="1">
        <v>40</v>
      </c>
      <c r="J17" s="6">
        <v>45</v>
      </c>
      <c r="K17" s="1">
        <v>1</v>
      </c>
      <c r="L17" s="6">
        <v>0.5</v>
      </c>
      <c r="M17" s="5">
        <v>0.245</v>
      </c>
      <c r="N17" s="6">
        <v>0.27700000000000002</v>
      </c>
      <c r="O17" s="1">
        <v>92</v>
      </c>
      <c r="P17" s="6">
        <v>96</v>
      </c>
      <c r="Q17" s="1" t="s">
        <v>32</v>
      </c>
      <c r="R17" s="1">
        <v>4</v>
      </c>
      <c r="S17" s="1" t="s">
        <v>32</v>
      </c>
      <c r="T17" s="6">
        <v>4</v>
      </c>
      <c r="U17" s="1">
        <v>9</v>
      </c>
      <c r="V17" s="1">
        <v>10</v>
      </c>
      <c r="W17" s="9">
        <v>0.3</v>
      </c>
    </row>
    <row r="18" spans="1:23" s="1" customFormat="1" x14ac:dyDescent="0.2">
      <c r="A18" s="5" t="s">
        <v>21</v>
      </c>
      <c r="B18" s="1">
        <v>1899</v>
      </c>
      <c r="C18" s="1" t="s">
        <v>22</v>
      </c>
      <c r="D18" s="1">
        <v>14</v>
      </c>
      <c r="E18" s="5">
        <v>28.73</v>
      </c>
      <c r="F18" s="6">
        <v>29.05</v>
      </c>
      <c r="G18" s="1">
        <v>41.3</v>
      </c>
      <c r="H18" s="1">
        <v>41</v>
      </c>
      <c r="I18" s="1">
        <v>39.700000000000003</v>
      </c>
      <c r="J18" s="6">
        <v>44.5</v>
      </c>
      <c r="K18" s="1">
        <v>2.7</v>
      </c>
      <c r="L18" s="6">
        <v>2</v>
      </c>
      <c r="M18" s="5">
        <v>0.20599999999999999</v>
      </c>
      <c r="N18" s="6">
        <v>0.215</v>
      </c>
      <c r="O18" s="1">
        <v>80</v>
      </c>
      <c r="P18" s="6">
        <v>84</v>
      </c>
      <c r="Q18" s="1" t="s">
        <v>38</v>
      </c>
      <c r="R18" s="1">
        <v>6</v>
      </c>
      <c r="S18" s="1" t="s">
        <v>39</v>
      </c>
      <c r="T18" s="6">
        <v>6</v>
      </c>
      <c r="U18" s="1">
        <v>2</v>
      </c>
      <c r="V18" s="1">
        <v>1</v>
      </c>
      <c r="W18" s="9" t="s">
        <v>25</v>
      </c>
    </row>
    <row r="19" spans="1:23" s="1" customFormat="1" x14ac:dyDescent="0.2">
      <c r="A19" s="5" t="s">
        <v>21</v>
      </c>
      <c r="B19" s="1">
        <v>1899</v>
      </c>
      <c r="C19" s="1" t="s">
        <v>22</v>
      </c>
      <c r="D19" s="1">
        <v>15</v>
      </c>
      <c r="E19" s="5">
        <v>29.08</v>
      </c>
      <c r="F19" s="6">
        <v>29.3</v>
      </c>
      <c r="G19" s="1">
        <v>42.4</v>
      </c>
      <c r="H19" s="1">
        <v>42.7</v>
      </c>
      <c r="I19" s="1">
        <v>40.200000000000003</v>
      </c>
      <c r="J19" s="6">
        <v>45</v>
      </c>
      <c r="K19" s="1">
        <v>0.9</v>
      </c>
      <c r="L19" s="6">
        <v>2.1</v>
      </c>
      <c r="M19" s="5">
        <v>0.252</v>
      </c>
      <c r="N19" s="6">
        <v>0.22900000000000001</v>
      </c>
      <c r="O19" s="1">
        <v>93</v>
      </c>
      <c r="P19" s="6">
        <v>84</v>
      </c>
      <c r="Q19" s="1" t="s">
        <v>40</v>
      </c>
      <c r="R19" s="1">
        <v>6</v>
      </c>
      <c r="S19" s="1" t="s">
        <v>35</v>
      </c>
      <c r="T19" s="6">
        <v>6</v>
      </c>
      <c r="U19" s="1">
        <v>5</v>
      </c>
      <c r="V19" s="1">
        <v>7</v>
      </c>
      <c r="W19" s="9" t="s">
        <v>25</v>
      </c>
    </row>
    <row r="20" spans="1:23" s="1" customFormat="1" x14ac:dyDescent="0.2">
      <c r="A20" s="5" t="s">
        <v>21</v>
      </c>
      <c r="B20" s="1">
        <v>1899</v>
      </c>
      <c r="C20" s="1" t="s">
        <v>22</v>
      </c>
      <c r="D20" s="1">
        <v>16</v>
      </c>
      <c r="E20" s="5">
        <v>29.36</v>
      </c>
      <c r="F20" s="6">
        <v>29.36</v>
      </c>
      <c r="G20" s="1">
        <v>41.4</v>
      </c>
      <c r="H20" s="1">
        <v>45.4</v>
      </c>
      <c r="I20" s="1">
        <v>38.200000000000003</v>
      </c>
      <c r="J20" s="6">
        <v>45.8</v>
      </c>
      <c r="K20" s="1">
        <v>2.9</v>
      </c>
      <c r="L20" s="6">
        <v>2</v>
      </c>
      <c r="M20" s="5">
        <v>0.20300000000000001</v>
      </c>
      <c r="N20" s="6">
        <v>0.25800000000000001</v>
      </c>
      <c r="O20" s="1">
        <v>79</v>
      </c>
      <c r="P20" s="6">
        <v>86</v>
      </c>
      <c r="Q20" s="1" t="s">
        <v>40</v>
      </c>
      <c r="R20" s="1">
        <v>6</v>
      </c>
      <c r="S20" s="1" t="s">
        <v>38</v>
      </c>
      <c r="T20" s="6">
        <v>6</v>
      </c>
      <c r="U20" s="1">
        <v>8</v>
      </c>
      <c r="V20" s="1">
        <v>10</v>
      </c>
      <c r="W20" s="9">
        <v>0.05</v>
      </c>
    </row>
    <row r="21" spans="1:23" s="1" customFormat="1" x14ac:dyDescent="0.2">
      <c r="A21" s="5" t="s">
        <v>21</v>
      </c>
      <c r="B21" s="1">
        <v>1899</v>
      </c>
      <c r="C21" s="1" t="s">
        <v>22</v>
      </c>
      <c r="D21" s="1">
        <v>17</v>
      </c>
      <c r="E21" s="5">
        <v>29.52</v>
      </c>
      <c r="F21" s="6">
        <v>29.74</v>
      </c>
      <c r="G21" s="1">
        <v>44.2</v>
      </c>
      <c r="H21" s="1">
        <v>44</v>
      </c>
      <c r="I21" s="1">
        <v>42.8</v>
      </c>
      <c r="J21" s="6">
        <v>46.5</v>
      </c>
      <c r="K21" s="1">
        <v>1</v>
      </c>
      <c r="L21" s="6">
        <v>0.8</v>
      </c>
      <c r="M21" s="5">
        <v>0.26700000000000002</v>
      </c>
      <c r="N21" s="6">
        <v>0.27</v>
      </c>
      <c r="O21" s="1">
        <v>92</v>
      </c>
      <c r="P21" s="6">
        <v>94</v>
      </c>
      <c r="Q21" s="1" t="s">
        <v>39</v>
      </c>
      <c r="R21" s="1">
        <v>3</v>
      </c>
      <c r="S21" s="1" t="s">
        <v>41</v>
      </c>
      <c r="T21" s="6">
        <v>1</v>
      </c>
      <c r="U21" s="1">
        <v>10</v>
      </c>
      <c r="V21" s="1">
        <v>8</v>
      </c>
      <c r="W21" s="9">
        <v>0.08</v>
      </c>
    </row>
    <row r="22" spans="1:23" s="1" customFormat="1" x14ac:dyDescent="0.2">
      <c r="A22" s="5" t="s">
        <v>21</v>
      </c>
      <c r="B22" s="1">
        <v>1899</v>
      </c>
      <c r="C22" s="1" t="s">
        <v>22</v>
      </c>
      <c r="D22" s="1">
        <v>18</v>
      </c>
      <c r="E22" s="5">
        <v>29.86</v>
      </c>
      <c r="F22" s="6">
        <v>29.88</v>
      </c>
      <c r="G22" s="1">
        <v>42.4</v>
      </c>
      <c r="H22" s="1">
        <v>40.799999999999997</v>
      </c>
      <c r="I22" s="1">
        <v>39.4</v>
      </c>
      <c r="J22" s="6">
        <v>45.4</v>
      </c>
      <c r="K22" s="1">
        <v>0.7</v>
      </c>
      <c r="L22" s="6">
        <v>1.5</v>
      </c>
      <c r="M22" s="5">
        <v>0.25600000000000001</v>
      </c>
      <c r="N22" s="6">
        <v>0.223</v>
      </c>
      <c r="O22" s="1">
        <v>95</v>
      </c>
      <c r="P22" s="6">
        <v>88</v>
      </c>
      <c r="Q22" s="1" t="s">
        <v>41</v>
      </c>
      <c r="R22" s="1">
        <v>1</v>
      </c>
      <c r="S22" s="1" t="s">
        <v>24</v>
      </c>
      <c r="T22" s="6">
        <v>1</v>
      </c>
      <c r="U22" s="1">
        <v>10</v>
      </c>
      <c r="V22" s="1">
        <v>8</v>
      </c>
      <c r="W22" s="9">
        <v>0.03</v>
      </c>
    </row>
    <row r="23" spans="1:23" s="1" customFormat="1" x14ac:dyDescent="0.2">
      <c r="A23" s="5" t="s">
        <v>21</v>
      </c>
      <c r="B23" s="1">
        <v>1899</v>
      </c>
      <c r="C23" s="1" t="s">
        <v>22</v>
      </c>
      <c r="D23" s="1">
        <v>19</v>
      </c>
      <c r="E23" s="5">
        <v>29.97</v>
      </c>
      <c r="F23" s="6">
        <v>30.08</v>
      </c>
      <c r="G23" s="1">
        <v>39.1</v>
      </c>
      <c r="H23" s="1">
        <v>38.4</v>
      </c>
      <c r="I23" s="1">
        <v>36</v>
      </c>
      <c r="J23" s="6">
        <v>43.8</v>
      </c>
      <c r="K23" s="1">
        <v>0.4</v>
      </c>
      <c r="L23" s="6">
        <v>1.2</v>
      </c>
      <c r="M23" s="5">
        <v>0.23100000000000001</v>
      </c>
      <c r="N23" s="6">
        <v>0.20799999999999999</v>
      </c>
      <c r="O23" s="1">
        <v>97</v>
      </c>
      <c r="P23" s="6">
        <v>90</v>
      </c>
      <c r="Q23" s="1" t="s">
        <v>24</v>
      </c>
      <c r="R23" s="1">
        <v>1</v>
      </c>
      <c r="S23" s="1" t="s">
        <v>27</v>
      </c>
      <c r="T23" s="6">
        <v>1</v>
      </c>
      <c r="U23" s="1">
        <v>0</v>
      </c>
      <c r="V23" s="1">
        <v>0</v>
      </c>
      <c r="W23" s="9" t="s">
        <v>25</v>
      </c>
    </row>
    <row r="24" spans="1:23" s="1" customFormat="1" x14ac:dyDescent="0.2">
      <c r="A24" s="5" t="s">
        <v>21</v>
      </c>
      <c r="B24" s="1">
        <v>1899</v>
      </c>
      <c r="C24" s="1" t="s">
        <v>22</v>
      </c>
      <c r="D24" s="1">
        <v>20</v>
      </c>
      <c r="E24" s="5">
        <v>30.17</v>
      </c>
      <c r="F24" s="6">
        <v>30.26</v>
      </c>
      <c r="G24" s="1">
        <v>38.799999999999997</v>
      </c>
      <c r="H24" s="1">
        <v>39.4</v>
      </c>
      <c r="I24" s="1">
        <v>36</v>
      </c>
      <c r="J24" s="6">
        <v>44.6</v>
      </c>
      <c r="K24" s="1">
        <v>0.8</v>
      </c>
      <c r="L24" s="6">
        <v>1.4</v>
      </c>
      <c r="M24" s="5">
        <v>0.22</v>
      </c>
      <c r="N24" s="6">
        <v>0.214</v>
      </c>
      <c r="O24" s="1">
        <v>94</v>
      </c>
      <c r="P24" s="6">
        <v>89</v>
      </c>
      <c r="Q24" s="1" t="s">
        <v>36</v>
      </c>
      <c r="R24" s="1">
        <v>0</v>
      </c>
      <c r="S24" s="1" t="s">
        <v>32</v>
      </c>
      <c r="T24" s="6">
        <v>4</v>
      </c>
      <c r="U24" s="1">
        <v>0</v>
      </c>
      <c r="V24" s="1">
        <v>4</v>
      </c>
      <c r="W24" s="9" t="s">
        <v>25</v>
      </c>
    </row>
    <row r="25" spans="1:23" s="1" customFormat="1" x14ac:dyDescent="0.2">
      <c r="A25" s="5" t="s">
        <v>21</v>
      </c>
      <c r="B25" s="1">
        <v>1899</v>
      </c>
      <c r="C25" s="1" t="s">
        <v>22</v>
      </c>
      <c r="D25" s="1">
        <v>21</v>
      </c>
      <c r="E25" s="5">
        <v>30.23</v>
      </c>
      <c r="F25" s="6">
        <v>30.11</v>
      </c>
      <c r="G25" s="1">
        <v>42</v>
      </c>
      <c r="H25" s="1">
        <v>41</v>
      </c>
      <c r="I25" s="1">
        <v>38.200000000000003</v>
      </c>
      <c r="J25" s="6">
        <v>42.6</v>
      </c>
      <c r="K25" s="1">
        <v>2.2000000000000002</v>
      </c>
      <c r="L25" s="6">
        <v>2.7</v>
      </c>
      <c r="M25" s="5">
        <v>0.221</v>
      </c>
      <c r="N25" s="6">
        <v>0.20200000000000001</v>
      </c>
      <c r="O25" s="1">
        <v>84</v>
      </c>
      <c r="P25" s="6">
        <v>79</v>
      </c>
      <c r="Q25" s="1" t="s">
        <v>32</v>
      </c>
      <c r="R25" s="1">
        <v>6</v>
      </c>
      <c r="S25" s="1" t="s">
        <v>38</v>
      </c>
      <c r="T25" s="6">
        <v>5</v>
      </c>
      <c r="U25" s="1">
        <v>8</v>
      </c>
      <c r="V25" s="1">
        <v>0</v>
      </c>
      <c r="W25" s="9" t="s">
        <v>25</v>
      </c>
    </row>
    <row r="26" spans="1:23" s="1" customFormat="1" x14ac:dyDescent="0.2">
      <c r="A26" s="5" t="s">
        <v>21</v>
      </c>
      <c r="B26" s="1">
        <v>1899</v>
      </c>
      <c r="C26" s="1" t="s">
        <v>22</v>
      </c>
      <c r="D26" s="1">
        <v>22</v>
      </c>
      <c r="E26" s="5">
        <v>30.05</v>
      </c>
      <c r="F26" s="6">
        <v>30.01</v>
      </c>
      <c r="G26" s="1">
        <v>40.799999999999997</v>
      </c>
      <c r="H26" s="1">
        <v>40</v>
      </c>
      <c r="I26" s="1">
        <v>37.200000000000003</v>
      </c>
      <c r="J26" s="6">
        <v>44</v>
      </c>
      <c r="K26" s="1">
        <v>1.8</v>
      </c>
      <c r="L26" s="6">
        <v>2.6</v>
      </c>
      <c r="M26" s="5">
        <v>0.217</v>
      </c>
      <c r="N26" s="6">
        <v>0.19600000000000001</v>
      </c>
      <c r="O26" s="1">
        <v>86</v>
      </c>
      <c r="P26" s="6">
        <v>79</v>
      </c>
      <c r="Q26" s="1" t="s">
        <v>38</v>
      </c>
      <c r="R26" s="1">
        <v>3</v>
      </c>
      <c r="S26" s="1" t="s">
        <v>42</v>
      </c>
      <c r="T26" s="6">
        <v>1</v>
      </c>
      <c r="U26" s="1">
        <v>0</v>
      </c>
      <c r="V26" s="1">
        <v>0</v>
      </c>
      <c r="W26" s="9" t="s">
        <v>25</v>
      </c>
    </row>
    <row r="27" spans="1:23" s="1" customFormat="1" x14ac:dyDescent="0.2">
      <c r="A27" s="5" t="s">
        <v>21</v>
      </c>
      <c r="B27" s="1">
        <v>1899</v>
      </c>
      <c r="C27" s="1" t="s">
        <v>22</v>
      </c>
      <c r="D27" s="1">
        <v>23</v>
      </c>
      <c r="E27" s="5">
        <v>29.98</v>
      </c>
      <c r="F27" s="6">
        <v>29.95</v>
      </c>
      <c r="G27" s="1">
        <v>39</v>
      </c>
      <c r="H27" s="1">
        <v>40.5</v>
      </c>
      <c r="I27" s="1">
        <v>36.200000000000003</v>
      </c>
      <c r="J27" s="6">
        <v>45.5</v>
      </c>
      <c r="K27" s="1">
        <v>1</v>
      </c>
      <c r="L27" s="6">
        <v>0.5</v>
      </c>
      <c r="M27" s="5">
        <v>0.218</v>
      </c>
      <c r="N27" s="6">
        <v>0.24099999999999999</v>
      </c>
      <c r="O27" s="1">
        <v>92</v>
      </c>
      <c r="P27" s="6">
        <v>96</v>
      </c>
      <c r="Q27" s="1" t="s">
        <v>36</v>
      </c>
      <c r="R27" s="1">
        <v>0</v>
      </c>
      <c r="S27" s="1" t="s">
        <v>43</v>
      </c>
      <c r="T27" s="6">
        <v>1</v>
      </c>
      <c r="U27" s="1">
        <v>3</v>
      </c>
      <c r="V27" s="1">
        <v>0</v>
      </c>
      <c r="W27" s="9" t="s">
        <v>25</v>
      </c>
    </row>
    <row r="28" spans="1:23" s="1" customFormat="1" x14ac:dyDescent="0.2">
      <c r="A28" s="5" t="s">
        <v>21</v>
      </c>
      <c r="B28" s="1">
        <v>1899</v>
      </c>
      <c r="C28" s="1" t="s">
        <v>22</v>
      </c>
      <c r="D28" s="1">
        <v>24</v>
      </c>
      <c r="E28" s="5">
        <v>30.02</v>
      </c>
      <c r="F28" s="6">
        <v>30.05</v>
      </c>
      <c r="G28" s="1">
        <v>41.2</v>
      </c>
      <c r="H28" s="1">
        <v>42.5</v>
      </c>
      <c r="I28" s="1">
        <v>36.799999999999997</v>
      </c>
      <c r="J28" s="6">
        <v>44.3</v>
      </c>
      <c r="K28" s="1">
        <v>0.4</v>
      </c>
      <c r="L28" s="6">
        <v>1.7</v>
      </c>
      <c r="M28" s="5">
        <v>0.251</v>
      </c>
      <c r="N28" s="6">
        <v>0.23599999999999999</v>
      </c>
      <c r="O28" s="1">
        <v>97</v>
      </c>
      <c r="P28" s="6">
        <v>87</v>
      </c>
      <c r="Q28" s="1" t="s">
        <v>32</v>
      </c>
      <c r="R28" s="1">
        <v>1</v>
      </c>
      <c r="S28" s="1" t="s">
        <v>32</v>
      </c>
      <c r="T28" s="6">
        <v>6</v>
      </c>
      <c r="U28" s="1">
        <v>0</v>
      </c>
      <c r="V28" s="1">
        <v>0</v>
      </c>
      <c r="W28" s="9" t="s">
        <v>25</v>
      </c>
    </row>
    <row r="29" spans="1:23" s="1" customFormat="1" x14ac:dyDescent="0.2">
      <c r="A29" s="5" t="s">
        <v>21</v>
      </c>
      <c r="B29" s="1">
        <v>1899</v>
      </c>
      <c r="C29" s="1" t="s">
        <v>22</v>
      </c>
      <c r="D29" s="1">
        <v>25</v>
      </c>
      <c r="E29" s="5">
        <v>30.11</v>
      </c>
      <c r="F29" s="6">
        <v>30.12</v>
      </c>
      <c r="G29" s="1">
        <v>40.9</v>
      </c>
      <c r="H29" s="1">
        <v>39</v>
      </c>
      <c r="I29" s="1">
        <v>38.5</v>
      </c>
      <c r="J29" s="6">
        <v>43.3</v>
      </c>
      <c r="K29" s="1">
        <v>1.9</v>
      </c>
      <c r="L29" s="6">
        <v>1.2</v>
      </c>
      <c r="M29" s="5">
        <v>0.216</v>
      </c>
      <c r="N29" s="6">
        <v>0.214</v>
      </c>
      <c r="O29" s="1">
        <v>85</v>
      </c>
      <c r="P29" s="6">
        <v>90</v>
      </c>
      <c r="Q29" s="1" t="s">
        <v>32</v>
      </c>
      <c r="R29" s="1">
        <v>6</v>
      </c>
      <c r="S29" s="1" t="s">
        <v>38</v>
      </c>
      <c r="T29" s="6">
        <v>5</v>
      </c>
      <c r="U29" s="1">
        <v>8</v>
      </c>
      <c r="V29" s="1">
        <v>1</v>
      </c>
      <c r="W29" s="9" t="s">
        <v>25</v>
      </c>
    </row>
    <row r="30" spans="1:23" s="1" customFormat="1" x14ac:dyDescent="0.2">
      <c r="A30" s="5" t="s">
        <v>21</v>
      </c>
      <c r="B30" s="1">
        <v>1899</v>
      </c>
      <c r="C30" s="1" t="s">
        <v>22</v>
      </c>
      <c r="D30" s="1">
        <v>26</v>
      </c>
      <c r="E30" s="5">
        <v>30.1</v>
      </c>
      <c r="F30" s="6">
        <v>30.14</v>
      </c>
      <c r="G30" s="1">
        <v>39.4</v>
      </c>
      <c r="H30" s="1">
        <v>38</v>
      </c>
      <c r="I30" s="1">
        <v>36.799999999999997</v>
      </c>
      <c r="J30" s="6">
        <v>42.8</v>
      </c>
      <c r="K30" s="1">
        <v>1.6</v>
      </c>
      <c r="L30" s="6">
        <v>1.5</v>
      </c>
      <c r="M30" s="5">
        <v>0.21</v>
      </c>
      <c r="N30" s="6">
        <v>0.19900000000000001</v>
      </c>
      <c r="O30" s="1">
        <v>87</v>
      </c>
      <c r="P30" s="6">
        <v>87</v>
      </c>
      <c r="Q30" s="1" t="s">
        <v>38</v>
      </c>
      <c r="R30" s="1">
        <v>2</v>
      </c>
      <c r="S30" s="1" t="s">
        <v>36</v>
      </c>
      <c r="T30" s="6">
        <v>0</v>
      </c>
      <c r="U30" s="1">
        <v>0</v>
      </c>
      <c r="V30" s="1">
        <v>0</v>
      </c>
      <c r="W30" s="9" t="s">
        <v>25</v>
      </c>
    </row>
    <row r="31" spans="1:23" s="1" customFormat="1" x14ac:dyDescent="0.2">
      <c r="A31" s="5" t="s">
        <v>21</v>
      </c>
      <c r="B31" s="1">
        <v>1899</v>
      </c>
      <c r="C31" s="1" t="s">
        <v>22</v>
      </c>
      <c r="D31" s="1">
        <v>27</v>
      </c>
      <c r="E31" s="5">
        <v>30.17</v>
      </c>
      <c r="F31" s="6">
        <v>30.15</v>
      </c>
      <c r="G31" s="1">
        <v>40.200000000000003</v>
      </c>
      <c r="H31" s="1">
        <v>38.5</v>
      </c>
      <c r="I31" s="1">
        <v>35.5</v>
      </c>
      <c r="J31" s="6">
        <v>44.8</v>
      </c>
      <c r="K31" s="1">
        <v>0.5</v>
      </c>
      <c r="L31" s="6">
        <v>1.5</v>
      </c>
      <c r="M31" s="5">
        <v>0.23899999999999999</v>
      </c>
      <c r="N31" s="6">
        <v>0.20399999999999999</v>
      </c>
      <c r="O31" s="1">
        <v>96</v>
      </c>
      <c r="P31" s="6">
        <v>88</v>
      </c>
      <c r="Q31" s="1" t="s">
        <v>39</v>
      </c>
      <c r="R31" s="1">
        <v>1</v>
      </c>
      <c r="S31" s="1" t="s">
        <v>36</v>
      </c>
      <c r="T31" s="6">
        <v>0</v>
      </c>
      <c r="U31" s="1">
        <v>0</v>
      </c>
      <c r="V31" s="1">
        <v>0</v>
      </c>
      <c r="W31" s="9" t="s">
        <v>25</v>
      </c>
    </row>
    <row r="32" spans="1:23" s="1" customFormat="1" x14ac:dyDescent="0.2">
      <c r="A32" s="5" t="s">
        <v>21</v>
      </c>
      <c r="B32" s="1">
        <v>1899</v>
      </c>
      <c r="C32" s="1" t="s">
        <v>22</v>
      </c>
      <c r="D32" s="1">
        <v>28</v>
      </c>
      <c r="E32" s="5">
        <v>30.06</v>
      </c>
      <c r="F32" s="6">
        <v>30.06</v>
      </c>
      <c r="G32" s="1">
        <v>42</v>
      </c>
      <c r="H32" s="1">
        <v>46.2</v>
      </c>
      <c r="I32" s="1">
        <v>37.5</v>
      </c>
      <c r="J32" s="6">
        <v>47.6</v>
      </c>
      <c r="K32" s="1">
        <v>1.4</v>
      </c>
      <c r="L32" s="6">
        <v>0.2</v>
      </c>
      <c r="M32" s="5">
        <v>0.23699999999999999</v>
      </c>
      <c r="N32" s="6">
        <v>0.308</v>
      </c>
      <c r="O32" s="1">
        <v>89</v>
      </c>
      <c r="P32" s="6">
        <v>99</v>
      </c>
      <c r="Q32" s="1" t="s">
        <v>41</v>
      </c>
      <c r="R32" s="1">
        <v>3</v>
      </c>
      <c r="S32" s="1" t="s">
        <v>44</v>
      </c>
      <c r="T32" s="6">
        <v>5</v>
      </c>
      <c r="U32" s="1">
        <v>10</v>
      </c>
      <c r="V32" s="1">
        <v>10</v>
      </c>
      <c r="W32" s="9">
        <v>0.1</v>
      </c>
    </row>
    <row r="33" spans="1:23" s="1" customFormat="1" x14ac:dyDescent="0.2">
      <c r="A33" s="10"/>
      <c r="B33" s="11"/>
      <c r="C33" s="11"/>
      <c r="D33" s="12" t="s">
        <v>45</v>
      </c>
      <c r="E33" s="11">
        <v>29.536000000000001</v>
      </c>
      <c r="F33" s="12">
        <v>29.547000000000001</v>
      </c>
      <c r="G33" s="10">
        <v>39.799999999999997</v>
      </c>
      <c r="H33" s="11">
        <v>40.1</v>
      </c>
      <c r="I33" s="11">
        <v>36.799999999999997</v>
      </c>
      <c r="J33" s="12">
        <v>43</v>
      </c>
      <c r="K33" s="10">
        <v>1.6</v>
      </c>
      <c r="L33" s="12">
        <v>1.4</v>
      </c>
      <c r="M33" s="11">
        <v>0.215</v>
      </c>
      <c r="N33" s="11">
        <v>0.221</v>
      </c>
      <c r="O33" s="10">
        <v>86.3</v>
      </c>
      <c r="P33" s="12">
        <v>88</v>
      </c>
      <c r="Q33" s="10" t="s">
        <v>25</v>
      </c>
      <c r="R33" s="11">
        <v>3.4</v>
      </c>
      <c r="S33" s="11" t="s">
        <v>25</v>
      </c>
      <c r="T33" s="12">
        <v>3.2</v>
      </c>
      <c r="U33" s="10">
        <v>6.1</v>
      </c>
      <c r="V33" s="12">
        <v>5.5</v>
      </c>
      <c r="W33" s="13">
        <v>1.4950000000000001</v>
      </c>
    </row>
  </sheetData>
  <mergeCells count="8">
    <mergeCell ref="U2:V2"/>
    <mergeCell ref="E2:F2"/>
    <mergeCell ref="G2:J2"/>
    <mergeCell ref="Q2:T2"/>
    <mergeCell ref="K3:L3"/>
    <mergeCell ref="M3:N3"/>
    <mergeCell ref="O3:P3"/>
    <mergeCell ref="K2:P2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2F61C-05AA-4FA3-BD74-74225C388CDC}">
  <dimension ref="A2:W34"/>
  <sheetViews>
    <sheetView topLeftCell="K21" workbookViewId="0">
      <selection activeCell="W34" sqref="W34"/>
    </sheetView>
  </sheetViews>
  <sheetFormatPr baseColWidth="10" defaultColWidth="8.83203125" defaultRowHeight="15" x14ac:dyDescent="0.2"/>
  <cols>
    <col min="1" max="1" width="14" customWidth="1"/>
  </cols>
  <sheetData>
    <row r="2" spans="1:23" s="2" customFormat="1" ht="32" x14ac:dyDescent="0.2">
      <c r="A2" s="14"/>
      <c r="B2" s="15"/>
      <c r="C2" s="15"/>
      <c r="D2" s="15"/>
      <c r="E2" s="31" t="s">
        <v>0</v>
      </c>
      <c r="F2" s="32"/>
      <c r="G2" s="33" t="s">
        <v>1</v>
      </c>
      <c r="H2" s="33"/>
      <c r="I2" s="33"/>
      <c r="J2" s="34"/>
      <c r="K2" s="29" t="s">
        <v>2</v>
      </c>
      <c r="L2" s="33"/>
      <c r="M2" s="33"/>
      <c r="N2" s="33"/>
      <c r="O2" s="33"/>
      <c r="P2" s="34"/>
      <c r="Q2" s="33" t="s">
        <v>3</v>
      </c>
      <c r="R2" s="33"/>
      <c r="S2" s="33"/>
      <c r="T2" s="34"/>
      <c r="U2" s="29" t="s">
        <v>4</v>
      </c>
      <c r="V2" s="30"/>
      <c r="W2" s="7" t="s">
        <v>5</v>
      </c>
    </row>
    <row r="3" spans="1:23" s="2" customFormat="1" x14ac:dyDescent="0.2">
      <c r="A3" s="3"/>
      <c r="E3" s="16"/>
      <c r="F3" s="17"/>
      <c r="J3" s="4"/>
      <c r="K3" s="35" t="s">
        <v>6</v>
      </c>
      <c r="L3" s="36"/>
      <c r="M3" s="35" t="s">
        <v>7</v>
      </c>
      <c r="N3" s="36"/>
      <c r="O3" s="37" t="s">
        <v>8</v>
      </c>
      <c r="P3" s="38"/>
      <c r="T3" s="4"/>
      <c r="V3" s="1"/>
      <c r="W3" s="18"/>
    </row>
    <row r="4" spans="1:23" s="2" customFormat="1" x14ac:dyDescent="0.2">
      <c r="A4" s="3" t="s">
        <v>9</v>
      </c>
      <c r="B4" s="2" t="s">
        <v>10</v>
      </c>
      <c r="C4" s="2" t="s">
        <v>11</v>
      </c>
      <c r="D4" s="2" t="s">
        <v>12</v>
      </c>
      <c r="E4" s="3" t="s">
        <v>13</v>
      </c>
      <c r="F4" s="4" t="s">
        <v>14</v>
      </c>
      <c r="G4" s="2" t="s">
        <v>13</v>
      </c>
      <c r="H4" s="2" t="s">
        <v>14</v>
      </c>
      <c r="I4" s="2" t="s">
        <v>15</v>
      </c>
      <c r="J4" s="4" t="s">
        <v>16</v>
      </c>
      <c r="K4" s="2" t="s">
        <v>13</v>
      </c>
      <c r="L4" s="4" t="s">
        <v>14</v>
      </c>
      <c r="M4" s="3" t="s">
        <v>13</v>
      </c>
      <c r="N4" s="4" t="s">
        <v>14</v>
      </c>
      <c r="O4" s="2" t="s">
        <v>13</v>
      </c>
      <c r="P4" s="4" t="s">
        <v>14</v>
      </c>
      <c r="Q4" s="2" t="s">
        <v>17</v>
      </c>
      <c r="R4" s="2" t="s">
        <v>18</v>
      </c>
      <c r="S4" s="2" t="s">
        <v>19</v>
      </c>
      <c r="T4" s="4" t="s">
        <v>20</v>
      </c>
      <c r="U4" s="2" t="s">
        <v>13</v>
      </c>
      <c r="V4" s="2" t="s">
        <v>14</v>
      </c>
      <c r="W4" s="8" t="s">
        <v>13</v>
      </c>
    </row>
    <row r="5" spans="1:23" s="1" customFormat="1" x14ac:dyDescent="0.2">
      <c r="A5" s="5" t="s">
        <v>46</v>
      </c>
      <c r="B5" s="1">
        <v>1899</v>
      </c>
      <c r="C5" s="1" t="s">
        <v>22</v>
      </c>
      <c r="D5" s="1">
        <v>1</v>
      </c>
      <c r="E5" s="5">
        <v>29.6</v>
      </c>
      <c r="F5" s="6">
        <v>29.62</v>
      </c>
      <c r="G5" s="1">
        <v>34.799999999999997</v>
      </c>
      <c r="H5" s="1">
        <v>35</v>
      </c>
      <c r="I5" s="1">
        <v>33.799999999999997</v>
      </c>
      <c r="J5" s="6">
        <v>39</v>
      </c>
      <c r="K5" s="1">
        <v>2</v>
      </c>
      <c r="L5" s="6">
        <v>3</v>
      </c>
      <c r="M5" s="5">
        <v>0.16200000000000001</v>
      </c>
      <c r="N5" s="6">
        <v>0.14799999999999999</v>
      </c>
      <c r="O5" s="1">
        <v>81</v>
      </c>
      <c r="P5" s="6">
        <v>72</v>
      </c>
      <c r="Q5" s="1" t="s">
        <v>44</v>
      </c>
      <c r="R5" s="1" t="s">
        <v>25</v>
      </c>
      <c r="S5" s="1" t="s">
        <v>44</v>
      </c>
      <c r="T5" s="6" t="s">
        <v>25</v>
      </c>
      <c r="U5" s="1" t="s">
        <v>25</v>
      </c>
      <c r="V5" s="1" t="s">
        <v>25</v>
      </c>
      <c r="W5" s="9" t="s">
        <v>25</v>
      </c>
    </row>
    <row r="6" spans="1:23" s="1" customFormat="1" x14ac:dyDescent="0.2">
      <c r="A6" s="5" t="s">
        <v>46</v>
      </c>
      <c r="B6" s="1">
        <v>1899</v>
      </c>
      <c r="C6" s="1" t="s">
        <v>22</v>
      </c>
      <c r="D6" s="1">
        <v>2</v>
      </c>
      <c r="E6" s="5">
        <v>29.67</v>
      </c>
      <c r="F6" s="6">
        <v>29.75</v>
      </c>
      <c r="G6" s="1">
        <v>31.5</v>
      </c>
      <c r="H6" s="1">
        <v>35</v>
      </c>
      <c r="I6" s="1">
        <v>30</v>
      </c>
      <c r="J6" s="6">
        <v>39.200000000000003</v>
      </c>
      <c r="K6" s="1">
        <v>1</v>
      </c>
      <c r="L6" s="6">
        <v>2</v>
      </c>
      <c r="M6" s="5">
        <v>0.154</v>
      </c>
      <c r="N6" s="6">
        <v>0.16400000000000001</v>
      </c>
      <c r="O6" s="1">
        <v>86</v>
      </c>
      <c r="P6" s="6">
        <v>80</v>
      </c>
      <c r="Q6" s="1" t="s">
        <v>44</v>
      </c>
      <c r="R6" s="1" t="s">
        <v>25</v>
      </c>
      <c r="S6" s="1" t="s">
        <v>44</v>
      </c>
      <c r="T6" s="6" t="s">
        <v>25</v>
      </c>
      <c r="U6" s="1" t="s">
        <v>25</v>
      </c>
      <c r="V6" s="1" t="s">
        <v>25</v>
      </c>
      <c r="W6" s="9" t="s">
        <v>25</v>
      </c>
    </row>
    <row r="7" spans="1:23" s="1" customFormat="1" x14ac:dyDescent="0.2">
      <c r="A7" s="5" t="s">
        <v>46</v>
      </c>
      <c r="B7" s="1">
        <v>1899</v>
      </c>
      <c r="C7" s="1" t="s">
        <v>22</v>
      </c>
      <c r="D7" s="1">
        <v>3</v>
      </c>
      <c r="E7" s="5">
        <v>29.82</v>
      </c>
      <c r="F7" s="6">
        <v>29.85</v>
      </c>
      <c r="G7" s="1">
        <v>34.200000000000003</v>
      </c>
      <c r="H7" s="1">
        <v>36.5</v>
      </c>
      <c r="I7" s="1">
        <v>31</v>
      </c>
      <c r="J7" s="6">
        <v>36.799999999999997</v>
      </c>
      <c r="K7" s="1">
        <v>1.7</v>
      </c>
      <c r="L7" s="6">
        <v>2.5</v>
      </c>
      <c r="M7" s="5">
        <v>0.16400000000000001</v>
      </c>
      <c r="N7" s="6">
        <v>0.17</v>
      </c>
      <c r="O7" s="1">
        <v>82</v>
      </c>
      <c r="P7" s="6">
        <v>78</v>
      </c>
      <c r="Q7" s="1" t="s">
        <v>44</v>
      </c>
      <c r="R7" s="1" t="s">
        <v>25</v>
      </c>
      <c r="S7" s="1" t="s">
        <v>44</v>
      </c>
      <c r="T7" s="6" t="s">
        <v>25</v>
      </c>
      <c r="U7" s="1" t="s">
        <v>25</v>
      </c>
      <c r="V7" s="1" t="s">
        <v>25</v>
      </c>
      <c r="W7" s="9" t="s">
        <v>25</v>
      </c>
    </row>
    <row r="8" spans="1:23" s="1" customFormat="1" x14ac:dyDescent="0.2">
      <c r="A8" s="5" t="s">
        <v>46</v>
      </c>
      <c r="B8" s="1">
        <v>1899</v>
      </c>
      <c r="C8" s="1" t="s">
        <v>22</v>
      </c>
      <c r="D8" s="1">
        <v>4</v>
      </c>
      <c r="E8" s="5">
        <v>29.86</v>
      </c>
      <c r="F8" s="6">
        <v>29.69</v>
      </c>
      <c r="G8" s="1">
        <v>33</v>
      </c>
      <c r="H8" s="1">
        <v>31</v>
      </c>
      <c r="I8" s="1">
        <v>29</v>
      </c>
      <c r="J8" s="6">
        <v>40</v>
      </c>
      <c r="K8" s="1">
        <v>1.5</v>
      </c>
      <c r="L8" s="6">
        <v>1.8</v>
      </c>
      <c r="M8" s="5">
        <v>0.157</v>
      </c>
      <c r="N8" s="6">
        <v>0.13100000000000001</v>
      </c>
      <c r="O8" s="1">
        <v>83</v>
      </c>
      <c r="P8" s="6">
        <v>74</v>
      </c>
      <c r="Q8" s="1" t="s">
        <v>29</v>
      </c>
      <c r="R8" s="1" t="s">
        <v>25</v>
      </c>
      <c r="S8" s="1" t="s">
        <v>44</v>
      </c>
      <c r="T8" s="6" t="s">
        <v>25</v>
      </c>
      <c r="U8" s="1" t="s">
        <v>25</v>
      </c>
      <c r="V8" s="1" t="s">
        <v>25</v>
      </c>
      <c r="W8" s="9" t="s">
        <v>25</v>
      </c>
    </row>
    <row r="9" spans="1:23" s="1" customFormat="1" x14ac:dyDescent="0.2">
      <c r="A9" s="5" t="s">
        <v>46</v>
      </c>
      <c r="B9" s="1">
        <v>1899</v>
      </c>
      <c r="C9" s="1" t="s">
        <v>22</v>
      </c>
      <c r="D9" s="1">
        <v>5</v>
      </c>
      <c r="E9" s="5">
        <v>29.77</v>
      </c>
      <c r="F9" s="6">
        <v>29.89</v>
      </c>
      <c r="G9" s="1">
        <v>31.2</v>
      </c>
      <c r="H9" s="1">
        <v>34.200000000000003</v>
      </c>
      <c r="I9" s="1">
        <v>29.8</v>
      </c>
      <c r="J9" s="6">
        <v>35</v>
      </c>
      <c r="K9" s="1">
        <v>1.7</v>
      </c>
      <c r="L9" s="6">
        <v>1.2</v>
      </c>
      <c r="M9" s="5">
        <v>0.13500000000000001</v>
      </c>
      <c r="N9" s="6">
        <v>0.17399999999999999</v>
      </c>
      <c r="O9" s="1">
        <v>76</v>
      </c>
      <c r="P9" s="6">
        <v>87</v>
      </c>
      <c r="Q9" s="1" t="s">
        <v>43</v>
      </c>
      <c r="R9" s="1" t="s">
        <v>25</v>
      </c>
      <c r="S9" s="1" t="s">
        <v>43</v>
      </c>
      <c r="T9" s="6" t="s">
        <v>25</v>
      </c>
      <c r="U9" s="1" t="s">
        <v>25</v>
      </c>
      <c r="V9" s="1" t="s">
        <v>25</v>
      </c>
      <c r="W9" s="9" t="s">
        <v>25</v>
      </c>
    </row>
    <row r="10" spans="1:23" s="1" customFormat="1" x14ac:dyDescent="0.2">
      <c r="A10" s="5" t="s">
        <v>46</v>
      </c>
      <c r="B10" s="1">
        <v>1899</v>
      </c>
      <c r="C10" s="1" t="s">
        <v>22</v>
      </c>
      <c r="D10" s="1">
        <v>6</v>
      </c>
      <c r="E10" s="5">
        <v>29.85</v>
      </c>
      <c r="F10" s="6">
        <v>29.6</v>
      </c>
      <c r="G10" s="1">
        <v>36.200000000000003</v>
      </c>
      <c r="H10" s="1">
        <v>36</v>
      </c>
      <c r="I10" s="1">
        <v>34</v>
      </c>
      <c r="J10" s="6">
        <v>37.799999999999997</v>
      </c>
      <c r="K10" s="1">
        <v>3.4</v>
      </c>
      <c r="L10" s="6">
        <v>2</v>
      </c>
      <c r="M10" s="5">
        <v>0.153</v>
      </c>
      <c r="N10" s="6">
        <v>0.17499999999999999</v>
      </c>
      <c r="O10" s="1">
        <v>71</v>
      </c>
      <c r="P10" s="6">
        <v>82</v>
      </c>
      <c r="Q10" s="1" t="s">
        <v>31</v>
      </c>
      <c r="R10" s="1" t="s">
        <v>25</v>
      </c>
      <c r="S10" s="1" t="s">
        <v>44</v>
      </c>
      <c r="T10" s="6" t="s">
        <v>25</v>
      </c>
      <c r="U10" s="1" t="s">
        <v>25</v>
      </c>
      <c r="V10" s="1" t="s">
        <v>25</v>
      </c>
      <c r="W10" s="9" t="s">
        <v>25</v>
      </c>
    </row>
    <row r="11" spans="1:23" s="1" customFormat="1" x14ac:dyDescent="0.2">
      <c r="A11" s="5" t="s">
        <v>46</v>
      </c>
      <c r="B11" s="1">
        <v>1899</v>
      </c>
      <c r="C11" s="1" t="s">
        <v>22</v>
      </c>
      <c r="D11" s="1">
        <v>7</v>
      </c>
      <c r="E11" s="5">
        <v>29.38</v>
      </c>
      <c r="F11" s="6">
        <v>29.35</v>
      </c>
      <c r="G11" s="1">
        <v>38</v>
      </c>
      <c r="H11" s="1">
        <v>39</v>
      </c>
      <c r="I11" s="1">
        <v>31</v>
      </c>
      <c r="J11" s="6">
        <v>40</v>
      </c>
      <c r="K11" s="1">
        <v>1.2</v>
      </c>
      <c r="L11" s="6">
        <v>3</v>
      </c>
      <c r="M11" s="5">
        <v>0.20399999999999999</v>
      </c>
      <c r="N11" s="6">
        <v>0.18099999999999999</v>
      </c>
      <c r="O11" s="1">
        <v>89</v>
      </c>
      <c r="P11" s="6">
        <v>77</v>
      </c>
      <c r="Q11" s="1" t="s">
        <v>31</v>
      </c>
      <c r="R11" s="1" t="s">
        <v>25</v>
      </c>
      <c r="S11" s="1" t="s">
        <v>43</v>
      </c>
      <c r="T11" s="6" t="s">
        <v>25</v>
      </c>
      <c r="U11" s="1" t="s">
        <v>25</v>
      </c>
      <c r="V11" s="1" t="s">
        <v>25</v>
      </c>
      <c r="W11" s="9">
        <v>0.18</v>
      </c>
    </row>
    <row r="12" spans="1:23" s="1" customFormat="1" x14ac:dyDescent="0.2">
      <c r="A12" s="5" t="s">
        <v>46</v>
      </c>
      <c r="B12" s="1">
        <v>1899</v>
      </c>
      <c r="C12" s="1" t="s">
        <v>22</v>
      </c>
      <c r="D12" s="1">
        <v>8</v>
      </c>
      <c r="E12" s="5">
        <v>29.21</v>
      </c>
      <c r="F12" s="6">
        <v>28.98</v>
      </c>
      <c r="G12" s="1">
        <v>42.2</v>
      </c>
      <c r="H12" s="1">
        <v>43</v>
      </c>
      <c r="I12" s="1">
        <v>37</v>
      </c>
      <c r="J12" s="6">
        <v>46</v>
      </c>
      <c r="K12" s="1">
        <v>1.2</v>
      </c>
      <c r="L12" s="6">
        <v>2</v>
      </c>
      <c r="M12" s="5">
        <v>0.24299999999999999</v>
      </c>
      <c r="N12" s="6">
        <v>0.23400000000000001</v>
      </c>
      <c r="O12" s="1">
        <v>90</v>
      </c>
      <c r="P12" s="6">
        <v>84</v>
      </c>
      <c r="Q12" s="1" t="s">
        <v>43</v>
      </c>
      <c r="R12" s="1" t="s">
        <v>25</v>
      </c>
      <c r="S12" s="1" t="s">
        <v>43</v>
      </c>
      <c r="T12" s="6" t="s">
        <v>25</v>
      </c>
      <c r="U12" s="1" t="s">
        <v>25</v>
      </c>
      <c r="V12" s="1" t="s">
        <v>25</v>
      </c>
      <c r="W12" s="9">
        <v>0.21</v>
      </c>
    </row>
    <row r="13" spans="1:23" s="1" customFormat="1" x14ac:dyDescent="0.2">
      <c r="A13" s="5" t="s">
        <v>46</v>
      </c>
      <c r="B13" s="1">
        <v>1899</v>
      </c>
      <c r="C13" s="1" t="s">
        <v>22</v>
      </c>
      <c r="D13" s="1">
        <v>9</v>
      </c>
      <c r="E13" s="5">
        <v>29.02</v>
      </c>
      <c r="F13" s="6">
        <v>29</v>
      </c>
      <c r="G13" s="1">
        <v>41.2</v>
      </c>
      <c r="H13" s="1">
        <v>41</v>
      </c>
      <c r="I13" s="1">
        <v>37</v>
      </c>
      <c r="J13" s="6">
        <v>46.8</v>
      </c>
      <c r="K13" s="1">
        <v>1.2</v>
      </c>
      <c r="L13" s="6">
        <v>1</v>
      </c>
      <c r="M13" s="5">
        <v>0.23300000000000001</v>
      </c>
      <c r="N13" s="6">
        <v>0.23499999999999999</v>
      </c>
      <c r="O13" s="1">
        <v>91</v>
      </c>
      <c r="P13" s="6">
        <v>92</v>
      </c>
      <c r="Q13" s="1" t="s">
        <v>29</v>
      </c>
      <c r="R13" s="1" t="s">
        <v>25</v>
      </c>
      <c r="S13" s="1" t="s">
        <v>43</v>
      </c>
      <c r="T13" s="6" t="s">
        <v>25</v>
      </c>
      <c r="U13" s="1" t="s">
        <v>25</v>
      </c>
      <c r="V13" s="1" t="s">
        <v>25</v>
      </c>
      <c r="W13" s="9">
        <v>0.2</v>
      </c>
    </row>
    <row r="14" spans="1:23" s="1" customFormat="1" x14ac:dyDescent="0.2">
      <c r="A14" s="5" t="s">
        <v>46</v>
      </c>
      <c r="B14" s="1">
        <v>1899</v>
      </c>
      <c r="C14" s="1" t="s">
        <v>22</v>
      </c>
      <c r="D14" s="1">
        <v>10</v>
      </c>
      <c r="E14" s="5">
        <v>29.08</v>
      </c>
      <c r="F14" s="6">
        <v>28.99</v>
      </c>
      <c r="G14" s="1">
        <v>40</v>
      </c>
      <c r="H14" s="1">
        <v>40.200000000000003</v>
      </c>
      <c r="I14" s="1">
        <v>39.5</v>
      </c>
      <c r="J14" s="6">
        <v>42.5</v>
      </c>
      <c r="K14" s="1">
        <v>1</v>
      </c>
      <c r="L14" s="6">
        <v>0.4</v>
      </c>
      <c r="M14" s="5">
        <v>0.22600000000000001</v>
      </c>
      <c r="N14" s="6">
        <v>0.24099999999999999</v>
      </c>
      <c r="O14" s="1">
        <v>92</v>
      </c>
      <c r="P14" s="6">
        <v>96</v>
      </c>
      <c r="Q14" s="1" t="s">
        <v>29</v>
      </c>
      <c r="R14" s="1" t="s">
        <v>25</v>
      </c>
      <c r="S14" s="1" t="s">
        <v>43</v>
      </c>
      <c r="T14" s="6" t="s">
        <v>25</v>
      </c>
      <c r="U14" s="1" t="s">
        <v>25</v>
      </c>
      <c r="V14" s="1" t="s">
        <v>25</v>
      </c>
      <c r="W14" s="9">
        <v>0.14000000000000001</v>
      </c>
    </row>
    <row r="15" spans="1:23" s="1" customFormat="1" x14ac:dyDescent="0.2">
      <c r="A15" s="5" t="s">
        <v>46</v>
      </c>
      <c r="B15" s="1">
        <v>1899</v>
      </c>
      <c r="C15" s="1" t="s">
        <v>22</v>
      </c>
      <c r="D15" s="1">
        <v>11</v>
      </c>
      <c r="E15" s="5">
        <v>29.12</v>
      </c>
      <c r="F15" s="6">
        <v>28.91</v>
      </c>
      <c r="G15" s="1">
        <v>41.5</v>
      </c>
      <c r="H15" s="1">
        <v>42.2</v>
      </c>
      <c r="I15" s="1">
        <v>36</v>
      </c>
      <c r="J15" s="6">
        <v>45.8</v>
      </c>
      <c r="K15" s="1">
        <v>0.3</v>
      </c>
      <c r="L15" s="6">
        <v>1.2</v>
      </c>
      <c r="M15" s="5">
        <v>0.254</v>
      </c>
      <c r="N15" s="6">
        <v>0.24299999999999999</v>
      </c>
      <c r="O15" s="1">
        <v>97</v>
      </c>
      <c r="P15" s="6">
        <v>90</v>
      </c>
      <c r="Q15" s="1" t="s">
        <v>43</v>
      </c>
      <c r="R15" s="1" t="s">
        <v>25</v>
      </c>
      <c r="S15" s="1" t="s">
        <v>43</v>
      </c>
      <c r="T15" s="6" t="s">
        <v>25</v>
      </c>
      <c r="U15" s="1" t="s">
        <v>25</v>
      </c>
      <c r="V15" s="1" t="s">
        <v>25</v>
      </c>
      <c r="W15" s="9">
        <v>0.08</v>
      </c>
    </row>
    <row r="16" spans="1:23" s="1" customFormat="1" x14ac:dyDescent="0.2">
      <c r="A16" s="5" t="s">
        <v>46</v>
      </c>
      <c r="B16" s="1">
        <v>1899</v>
      </c>
      <c r="C16" s="1" t="s">
        <v>22</v>
      </c>
      <c r="D16" s="1">
        <v>12</v>
      </c>
      <c r="E16" s="5">
        <v>28.86</v>
      </c>
      <c r="F16" s="6">
        <v>29.04</v>
      </c>
      <c r="G16" s="1">
        <v>42</v>
      </c>
      <c r="H16" s="1">
        <v>42.2</v>
      </c>
      <c r="I16" s="1">
        <v>41</v>
      </c>
      <c r="J16" s="6">
        <v>51.2</v>
      </c>
      <c r="K16" s="1">
        <v>0.8</v>
      </c>
      <c r="L16" s="6">
        <v>2.2000000000000002</v>
      </c>
      <c r="M16" s="5">
        <v>0.249</v>
      </c>
      <c r="N16" s="6">
        <v>0.223</v>
      </c>
      <c r="O16" s="1">
        <v>94</v>
      </c>
      <c r="P16" s="6">
        <v>84</v>
      </c>
      <c r="Q16" s="1" t="s">
        <v>44</v>
      </c>
      <c r="R16" s="1" t="s">
        <v>25</v>
      </c>
      <c r="S16" s="1" t="s">
        <v>44</v>
      </c>
      <c r="T16" s="6" t="s">
        <v>25</v>
      </c>
      <c r="U16" s="1" t="s">
        <v>25</v>
      </c>
      <c r="V16" s="1" t="s">
        <v>25</v>
      </c>
      <c r="W16" s="9" t="s">
        <v>25</v>
      </c>
    </row>
    <row r="17" spans="1:23" s="1" customFormat="1" x14ac:dyDescent="0.2">
      <c r="A17" s="5" t="s">
        <v>46</v>
      </c>
      <c r="B17" s="1">
        <v>1899</v>
      </c>
      <c r="C17" s="1" t="s">
        <v>22</v>
      </c>
      <c r="D17" s="1">
        <v>13</v>
      </c>
      <c r="E17" s="5">
        <v>28.97</v>
      </c>
      <c r="F17" s="6">
        <v>28.75</v>
      </c>
      <c r="G17" s="1">
        <v>41.2</v>
      </c>
      <c r="H17" s="1">
        <v>43</v>
      </c>
      <c r="I17" s="1">
        <v>35</v>
      </c>
      <c r="J17" s="6">
        <v>44</v>
      </c>
      <c r="K17" s="1">
        <v>2.7</v>
      </c>
      <c r="L17" s="6">
        <v>2</v>
      </c>
      <c r="M17" s="5">
        <v>0.20499999999999999</v>
      </c>
      <c r="N17" s="6">
        <v>0.23400000000000001</v>
      </c>
      <c r="O17" s="1">
        <v>80</v>
      </c>
      <c r="P17" s="6">
        <v>84</v>
      </c>
      <c r="Q17" s="1" t="s">
        <v>31</v>
      </c>
      <c r="R17" s="1" t="s">
        <v>25</v>
      </c>
      <c r="S17" s="1" t="s">
        <v>43</v>
      </c>
      <c r="T17" s="6" t="s">
        <v>25</v>
      </c>
      <c r="U17" s="1" t="s">
        <v>25</v>
      </c>
      <c r="V17" s="1" t="s">
        <v>25</v>
      </c>
      <c r="W17" s="9">
        <v>0.15</v>
      </c>
    </row>
    <row r="18" spans="1:23" s="1" customFormat="1" x14ac:dyDescent="0.2">
      <c r="A18" s="5" t="s">
        <v>46</v>
      </c>
      <c r="B18" s="1">
        <v>1899</v>
      </c>
      <c r="C18" s="1" t="s">
        <v>22</v>
      </c>
      <c r="D18" s="1">
        <v>14</v>
      </c>
      <c r="E18" s="5">
        <v>28.94</v>
      </c>
      <c r="F18" s="6">
        <v>29.24</v>
      </c>
      <c r="G18" s="1">
        <v>41</v>
      </c>
      <c r="H18" s="1">
        <v>39.799999999999997</v>
      </c>
      <c r="I18" s="1">
        <v>35</v>
      </c>
      <c r="J18" s="6">
        <v>46.8</v>
      </c>
      <c r="K18" s="1">
        <v>0.8</v>
      </c>
      <c r="L18" s="6">
        <v>2.2999999999999998</v>
      </c>
      <c r="M18" s="5">
        <v>0.23899999999999999</v>
      </c>
      <c r="N18" s="6">
        <v>0.20100000000000001</v>
      </c>
      <c r="O18" s="1">
        <v>94</v>
      </c>
      <c r="P18" s="6">
        <v>82</v>
      </c>
      <c r="Q18" s="1" t="s">
        <v>31</v>
      </c>
      <c r="R18" s="1" t="s">
        <v>25</v>
      </c>
      <c r="S18" s="1" t="s">
        <v>43</v>
      </c>
      <c r="T18" s="6" t="s">
        <v>25</v>
      </c>
      <c r="U18" s="1" t="s">
        <v>25</v>
      </c>
      <c r="V18" s="1" t="s">
        <v>25</v>
      </c>
      <c r="W18" s="9" t="s">
        <v>25</v>
      </c>
    </row>
    <row r="19" spans="1:23" s="1" customFormat="1" x14ac:dyDescent="0.2">
      <c r="A19" s="5" t="s">
        <v>46</v>
      </c>
      <c r="B19" s="1">
        <v>1899</v>
      </c>
      <c r="C19" s="1" t="s">
        <v>22</v>
      </c>
      <c r="D19" s="1">
        <v>15</v>
      </c>
      <c r="E19" s="5">
        <v>29.32</v>
      </c>
      <c r="F19" s="6">
        <v>29.45</v>
      </c>
      <c r="G19" s="1">
        <v>43.8</v>
      </c>
      <c r="H19" s="1">
        <v>44</v>
      </c>
      <c r="I19" s="1">
        <v>36</v>
      </c>
      <c r="J19" s="6">
        <v>46</v>
      </c>
      <c r="K19" s="1">
        <v>4</v>
      </c>
      <c r="L19" s="6">
        <v>2</v>
      </c>
      <c r="M19" s="5">
        <v>0.20499999999999999</v>
      </c>
      <c r="N19" s="6">
        <v>0.24399999999999999</v>
      </c>
      <c r="O19" s="1">
        <v>73</v>
      </c>
      <c r="P19" s="6">
        <v>84</v>
      </c>
      <c r="Q19" s="1" t="s">
        <v>44</v>
      </c>
      <c r="R19" s="1" t="s">
        <v>25</v>
      </c>
      <c r="S19" s="1" t="s">
        <v>44</v>
      </c>
      <c r="T19" s="6" t="s">
        <v>25</v>
      </c>
      <c r="U19" s="1" t="s">
        <v>25</v>
      </c>
      <c r="V19" s="1" t="s">
        <v>25</v>
      </c>
      <c r="W19" s="9">
        <v>0.02</v>
      </c>
    </row>
    <row r="20" spans="1:23" s="1" customFormat="1" x14ac:dyDescent="0.2">
      <c r="A20" s="5" t="s">
        <v>46</v>
      </c>
      <c r="B20" s="1">
        <v>1899</v>
      </c>
      <c r="C20" s="1" t="s">
        <v>22</v>
      </c>
      <c r="D20" s="1">
        <v>16</v>
      </c>
      <c r="E20" s="5">
        <v>29.5</v>
      </c>
      <c r="F20" s="6">
        <v>29.62</v>
      </c>
      <c r="G20" s="1">
        <v>40</v>
      </c>
      <c r="H20" s="1">
        <v>45</v>
      </c>
      <c r="I20" s="1">
        <v>34</v>
      </c>
      <c r="J20" s="6">
        <v>45.8</v>
      </c>
      <c r="K20" s="1">
        <v>2</v>
      </c>
      <c r="L20" s="6">
        <v>1</v>
      </c>
      <c r="M20" s="5">
        <v>0.20699999999999999</v>
      </c>
      <c r="N20" s="6">
        <v>0.27500000000000002</v>
      </c>
      <c r="O20" s="1">
        <v>84</v>
      </c>
      <c r="P20" s="6">
        <v>92</v>
      </c>
      <c r="Q20" s="1" t="s">
        <v>44</v>
      </c>
      <c r="R20" s="1" t="s">
        <v>25</v>
      </c>
      <c r="S20" s="1" t="s">
        <v>44</v>
      </c>
      <c r="T20" s="6" t="s">
        <v>25</v>
      </c>
      <c r="U20" s="1" t="s">
        <v>25</v>
      </c>
      <c r="V20" s="1" t="s">
        <v>25</v>
      </c>
      <c r="W20" s="9" t="s">
        <v>25</v>
      </c>
    </row>
    <row r="21" spans="1:23" s="1" customFormat="1" x14ac:dyDescent="0.2">
      <c r="A21" s="5" t="s">
        <v>46</v>
      </c>
      <c r="B21" s="1">
        <v>1899</v>
      </c>
      <c r="C21" s="1" t="s">
        <v>22</v>
      </c>
      <c r="D21" s="1">
        <v>17</v>
      </c>
      <c r="E21" s="5">
        <v>29.71</v>
      </c>
      <c r="F21" s="6">
        <v>29.88</v>
      </c>
      <c r="G21" s="1">
        <v>43.5</v>
      </c>
      <c r="H21" s="1">
        <v>45.5</v>
      </c>
      <c r="I21" s="1">
        <v>42.8</v>
      </c>
      <c r="J21" s="6">
        <v>49.8</v>
      </c>
      <c r="K21" s="1">
        <v>1.5</v>
      </c>
      <c r="L21" s="6">
        <v>2.5</v>
      </c>
      <c r="M21" s="5">
        <v>0.249</v>
      </c>
      <c r="N21" s="6">
        <v>0.248</v>
      </c>
      <c r="O21" s="1">
        <v>88</v>
      </c>
      <c r="P21" s="6">
        <v>82</v>
      </c>
      <c r="Q21" s="1" t="s">
        <v>35</v>
      </c>
      <c r="R21" s="1" t="s">
        <v>25</v>
      </c>
      <c r="S21" s="1" t="s">
        <v>35</v>
      </c>
      <c r="T21" s="6" t="s">
        <v>25</v>
      </c>
      <c r="U21" s="1" t="s">
        <v>25</v>
      </c>
      <c r="V21" s="1" t="s">
        <v>25</v>
      </c>
      <c r="W21" s="9">
        <v>0.41</v>
      </c>
    </row>
    <row r="22" spans="1:23" s="1" customFormat="1" x14ac:dyDescent="0.2">
      <c r="A22" s="5" t="s">
        <v>46</v>
      </c>
      <c r="B22" s="1">
        <v>1899</v>
      </c>
      <c r="C22" s="1" t="s">
        <v>22</v>
      </c>
      <c r="D22" s="1">
        <v>18</v>
      </c>
      <c r="E22" s="5">
        <v>30</v>
      </c>
      <c r="F22" s="6">
        <v>30.04</v>
      </c>
      <c r="G22" s="1">
        <v>41.5</v>
      </c>
      <c r="H22" s="1">
        <v>40</v>
      </c>
      <c r="I22" s="1">
        <v>39</v>
      </c>
      <c r="J22" s="6">
        <v>48</v>
      </c>
      <c r="K22" s="1">
        <v>1.5</v>
      </c>
      <c r="L22" s="6">
        <v>2.5</v>
      </c>
      <c r="M22" s="5">
        <v>0.23</v>
      </c>
      <c r="N22" s="6">
        <v>0.19800000000000001</v>
      </c>
      <c r="O22" s="1">
        <v>88</v>
      </c>
      <c r="P22" s="6">
        <v>80</v>
      </c>
      <c r="Q22" s="1" t="s">
        <v>47</v>
      </c>
      <c r="R22" s="1" t="s">
        <v>25</v>
      </c>
      <c r="S22" s="1" t="s">
        <v>47</v>
      </c>
      <c r="T22" s="6" t="s">
        <v>25</v>
      </c>
      <c r="U22" s="1" t="s">
        <v>25</v>
      </c>
      <c r="V22" s="1" t="s">
        <v>25</v>
      </c>
      <c r="W22" s="9">
        <v>0.1</v>
      </c>
    </row>
    <row r="23" spans="1:23" s="1" customFormat="1" x14ac:dyDescent="0.2">
      <c r="A23" s="5" t="s">
        <v>46</v>
      </c>
      <c r="B23" s="1">
        <v>1899</v>
      </c>
      <c r="C23" s="1" t="s">
        <v>22</v>
      </c>
      <c r="D23" s="1">
        <v>19</v>
      </c>
      <c r="E23" s="5">
        <v>30.15</v>
      </c>
      <c r="F23" s="6">
        <v>30.26</v>
      </c>
      <c r="G23" s="1">
        <v>39</v>
      </c>
      <c r="H23" s="1">
        <v>35</v>
      </c>
      <c r="I23" s="1">
        <v>33</v>
      </c>
      <c r="J23" s="6">
        <v>47</v>
      </c>
      <c r="K23" s="1">
        <v>0.5</v>
      </c>
      <c r="L23" s="6">
        <v>1.5</v>
      </c>
      <c r="M23" s="5">
        <v>0.22800000000000001</v>
      </c>
      <c r="N23" s="6">
        <v>0.17399999999999999</v>
      </c>
      <c r="O23" s="1">
        <v>96</v>
      </c>
      <c r="P23" s="6">
        <v>85</v>
      </c>
      <c r="Q23" s="1" t="s">
        <v>47</v>
      </c>
      <c r="R23" s="1" t="s">
        <v>25</v>
      </c>
      <c r="S23" s="1" t="s">
        <v>47</v>
      </c>
      <c r="T23" s="6" t="s">
        <v>25</v>
      </c>
      <c r="U23" s="1" t="s">
        <v>25</v>
      </c>
      <c r="V23" s="1" t="s">
        <v>25</v>
      </c>
      <c r="W23" s="9" t="s">
        <v>25</v>
      </c>
    </row>
    <row r="24" spans="1:23" s="1" customFormat="1" x14ac:dyDescent="0.2">
      <c r="A24" s="5" t="s">
        <v>46</v>
      </c>
      <c r="B24" s="1">
        <v>1899</v>
      </c>
      <c r="C24" s="1" t="s">
        <v>22</v>
      </c>
      <c r="D24" s="1">
        <v>20</v>
      </c>
      <c r="E24" s="5">
        <v>30.38</v>
      </c>
      <c r="F24" s="6">
        <v>30.45</v>
      </c>
      <c r="G24" s="1">
        <v>35.5</v>
      </c>
      <c r="H24" s="1">
        <v>40.799999999999997</v>
      </c>
      <c r="I24" s="1">
        <v>28.8</v>
      </c>
      <c r="J24" s="6">
        <v>41.5</v>
      </c>
      <c r="K24" s="1">
        <v>3.5</v>
      </c>
      <c r="L24" s="6">
        <v>3.8</v>
      </c>
      <c r="M24" s="5">
        <v>0.14499999999999999</v>
      </c>
      <c r="N24" s="6">
        <v>0.182</v>
      </c>
      <c r="O24" s="1">
        <v>69</v>
      </c>
      <c r="P24" s="6">
        <v>71</v>
      </c>
      <c r="Q24" s="1" t="s">
        <v>29</v>
      </c>
      <c r="R24" s="1" t="s">
        <v>25</v>
      </c>
      <c r="S24" s="1" t="s">
        <v>43</v>
      </c>
      <c r="T24" s="6" t="s">
        <v>25</v>
      </c>
      <c r="U24" s="1" t="s">
        <v>25</v>
      </c>
      <c r="V24" s="1" t="s">
        <v>25</v>
      </c>
      <c r="W24" s="9" t="s">
        <v>25</v>
      </c>
    </row>
    <row r="25" spans="1:23" s="1" customFormat="1" x14ac:dyDescent="0.2">
      <c r="A25" s="5" t="s">
        <v>46</v>
      </c>
      <c r="B25" s="1">
        <v>1899</v>
      </c>
      <c r="C25" s="1" t="s">
        <v>22</v>
      </c>
      <c r="D25" s="1">
        <v>21</v>
      </c>
      <c r="E25" s="5">
        <v>30.35</v>
      </c>
      <c r="F25" s="6">
        <v>30.28</v>
      </c>
      <c r="G25" s="1">
        <v>40.799999999999997</v>
      </c>
      <c r="H25" s="1">
        <v>39</v>
      </c>
      <c r="I25" s="1">
        <v>35</v>
      </c>
      <c r="J25" s="6">
        <v>43</v>
      </c>
      <c r="K25" s="1">
        <v>1.8</v>
      </c>
      <c r="L25" s="6">
        <v>2</v>
      </c>
      <c r="M25" s="5">
        <v>0.217</v>
      </c>
      <c r="N25" s="6">
        <v>0.19900000000000001</v>
      </c>
      <c r="O25" s="1">
        <v>86</v>
      </c>
      <c r="P25" s="6">
        <v>84</v>
      </c>
      <c r="Q25" s="1" t="s">
        <v>43</v>
      </c>
      <c r="R25" s="1" t="s">
        <v>25</v>
      </c>
      <c r="S25" s="1" t="s">
        <v>43</v>
      </c>
      <c r="T25" s="6" t="s">
        <v>25</v>
      </c>
      <c r="U25" s="1" t="s">
        <v>25</v>
      </c>
      <c r="V25" s="1" t="s">
        <v>25</v>
      </c>
      <c r="W25" s="9" t="s">
        <v>25</v>
      </c>
    </row>
    <row r="26" spans="1:23" s="1" customFormat="1" x14ac:dyDescent="0.2">
      <c r="A26" s="5" t="s">
        <v>46</v>
      </c>
      <c r="B26" s="1">
        <v>1899</v>
      </c>
      <c r="C26" s="1" t="s">
        <v>22</v>
      </c>
      <c r="D26" s="1">
        <v>22</v>
      </c>
      <c r="E26" s="5">
        <v>30.2</v>
      </c>
      <c r="F26" s="6">
        <v>30.18</v>
      </c>
      <c r="G26" s="1">
        <v>46</v>
      </c>
      <c r="H26" s="1">
        <v>34</v>
      </c>
      <c r="I26" s="1">
        <v>33</v>
      </c>
      <c r="J26" s="6">
        <v>49</v>
      </c>
      <c r="K26" s="1">
        <v>1</v>
      </c>
      <c r="L26" s="6">
        <v>1.2</v>
      </c>
      <c r="M26" s="5">
        <v>0.28699999999999998</v>
      </c>
      <c r="N26" s="6">
        <v>0.17199999999999999</v>
      </c>
      <c r="O26" s="1">
        <v>93</v>
      </c>
      <c r="P26" s="6">
        <v>87</v>
      </c>
      <c r="Q26" s="1" t="s">
        <v>47</v>
      </c>
      <c r="R26" s="1" t="s">
        <v>25</v>
      </c>
      <c r="S26" s="1" t="s">
        <v>47</v>
      </c>
      <c r="T26" s="6" t="s">
        <v>25</v>
      </c>
      <c r="U26" s="1" t="s">
        <v>25</v>
      </c>
      <c r="V26" s="1" t="s">
        <v>25</v>
      </c>
      <c r="W26" s="9" t="s">
        <v>25</v>
      </c>
    </row>
    <row r="27" spans="1:23" s="1" customFormat="1" x14ac:dyDescent="0.2">
      <c r="A27" s="5" t="s">
        <v>46</v>
      </c>
      <c r="B27" s="1">
        <v>1899</v>
      </c>
      <c r="C27" s="1" t="s">
        <v>22</v>
      </c>
      <c r="D27" s="1">
        <v>23</v>
      </c>
      <c r="E27" s="5">
        <v>30.17</v>
      </c>
      <c r="F27" s="6">
        <v>30.17</v>
      </c>
      <c r="G27" s="1">
        <v>33.799999999999997</v>
      </c>
      <c r="H27" s="1">
        <v>34</v>
      </c>
      <c r="I27" s="1">
        <v>32</v>
      </c>
      <c r="J27" s="6">
        <v>44</v>
      </c>
      <c r="K27" s="1">
        <v>0.8</v>
      </c>
      <c r="L27" s="6">
        <v>1.2</v>
      </c>
      <c r="M27" s="5">
        <v>0.18</v>
      </c>
      <c r="N27" s="6">
        <v>0.17199999999999999</v>
      </c>
      <c r="O27" s="1">
        <v>91</v>
      </c>
      <c r="P27" s="6">
        <v>87</v>
      </c>
      <c r="Q27" s="1" t="s">
        <v>29</v>
      </c>
      <c r="R27" s="1" t="s">
        <v>25</v>
      </c>
      <c r="S27" s="1" t="s">
        <v>47</v>
      </c>
      <c r="T27" s="6" t="s">
        <v>25</v>
      </c>
      <c r="U27" s="1" t="s">
        <v>25</v>
      </c>
      <c r="V27" s="1" t="s">
        <v>25</v>
      </c>
      <c r="W27" s="9" t="s">
        <v>25</v>
      </c>
    </row>
    <row r="28" spans="1:23" s="1" customFormat="1" x14ac:dyDescent="0.2">
      <c r="A28" s="5" t="s">
        <v>46</v>
      </c>
      <c r="B28" s="1">
        <v>1899</v>
      </c>
      <c r="C28" s="1" t="s">
        <v>22</v>
      </c>
      <c r="D28" s="1">
        <v>24</v>
      </c>
      <c r="E28" s="5">
        <v>30.21</v>
      </c>
      <c r="F28" s="6">
        <v>30.25</v>
      </c>
      <c r="G28" s="1">
        <v>34.799999999999997</v>
      </c>
      <c r="H28" s="1">
        <v>35.200000000000003</v>
      </c>
      <c r="I28" s="1">
        <v>29.5</v>
      </c>
      <c r="J28" s="6">
        <v>42.2</v>
      </c>
      <c r="K28" s="1">
        <v>1</v>
      </c>
      <c r="L28" s="6">
        <v>2.2000000000000002</v>
      </c>
      <c r="M28" s="5">
        <v>0.182</v>
      </c>
      <c r="N28" s="6">
        <v>0.16300000000000001</v>
      </c>
      <c r="O28" s="1">
        <v>91</v>
      </c>
      <c r="P28" s="6">
        <v>79</v>
      </c>
      <c r="Q28" s="1" t="s">
        <v>35</v>
      </c>
      <c r="R28" s="1" t="s">
        <v>25</v>
      </c>
      <c r="S28" s="1" t="s">
        <v>47</v>
      </c>
      <c r="T28" s="6" t="s">
        <v>25</v>
      </c>
      <c r="U28" s="1" t="s">
        <v>25</v>
      </c>
      <c r="V28" s="1" t="s">
        <v>25</v>
      </c>
      <c r="W28" s="9" t="s">
        <v>25</v>
      </c>
    </row>
    <row r="29" spans="1:23" s="1" customFormat="1" x14ac:dyDescent="0.2">
      <c r="A29" s="5" t="s">
        <v>46</v>
      </c>
      <c r="B29" s="1">
        <v>1899</v>
      </c>
      <c r="C29" s="1" t="s">
        <v>22</v>
      </c>
      <c r="D29" s="1">
        <v>25</v>
      </c>
      <c r="E29" s="5">
        <v>30.28</v>
      </c>
      <c r="F29" s="6">
        <v>30.25</v>
      </c>
      <c r="G29" s="1">
        <v>34.5</v>
      </c>
      <c r="H29" s="1">
        <v>38</v>
      </c>
      <c r="I29" s="1">
        <v>33.200000000000003</v>
      </c>
      <c r="J29" s="6">
        <v>43</v>
      </c>
      <c r="K29" s="1">
        <v>0.5</v>
      </c>
      <c r="L29" s="6">
        <v>1.8</v>
      </c>
      <c r="M29" s="5">
        <v>0.17</v>
      </c>
      <c r="N29" s="6">
        <v>0.19400000000000001</v>
      </c>
      <c r="O29" s="1">
        <v>84</v>
      </c>
      <c r="P29" s="6">
        <v>85</v>
      </c>
      <c r="Q29" s="1" t="s">
        <v>24</v>
      </c>
      <c r="R29" s="1" t="s">
        <v>25</v>
      </c>
      <c r="S29" s="1" t="s">
        <v>47</v>
      </c>
      <c r="T29" s="6" t="s">
        <v>25</v>
      </c>
      <c r="U29" s="1" t="s">
        <v>25</v>
      </c>
      <c r="V29" s="1" t="s">
        <v>25</v>
      </c>
      <c r="W29" s="9" t="s">
        <v>25</v>
      </c>
    </row>
    <row r="30" spans="1:23" s="1" customFormat="1" x14ac:dyDescent="0.2">
      <c r="A30" s="5" t="s">
        <v>46</v>
      </c>
      <c r="B30" s="1">
        <v>1899</v>
      </c>
      <c r="C30" s="1" t="s">
        <v>22</v>
      </c>
      <c r="D30" s="1">
        <v>26</v>
      </c>
      <c r="E30" s="5">
        <v>30.28</v>
      </c>
      <c r="F30" s="6">
        <v>30.3</v>
      </c>
      <c r="G30" s="1">
        <v>31.8</v>
      </c>
      <c r="H30" s="1">
        <v>34</v>
      </c>
      <c r="I30" s="1">
        <v>29</v>
      </c>
      <c r="J30" s="6">
        <v>43.2</v>
      </c>
      <c r="K30" s="1">
        <v>0.6</v>
      </c>
      <c r="L30" s="6">
        <v>2.5</v>
      </c>
      <c r="M30" s="5">
        <v>0.16600000000000001</v>
      </c>
      <c r="N30" s="6">
        <v>0.14699999999999999</v>
      </c>
      <c r="O30" s="1">
        <v>92</v>
      </c>
      <c r="P30" s="6">
        <v>75</v>
      </c>
      <c r="Q30" s="1" t="s">
        <v>43</v>
      </c>
      <c r="R30" s="1" t="s">
        <v>25</v>
      </c>
      <c r="S30" s="1" t="s">
        <v>29</v>
      </c>
      <c r="T30" s="6" t="s">
        <v>25</v>
      </c>
      <c r="U30" s="1" t="s">
        <v>25</v>
      </c>
      <c r="V30" s="1" t="s">
        <v>25</v>
      </c>
      <c r="W30" s="9" t="s">
        <v>25</v>
      </c>
    </row>
    <row r="31" spans="1:23" s="1" customFormat="1" x14ac:dyDescent="0.2">
      <c r="A31" s="5" t="s">
        <v>46</v>
      </c>
      <c r="B31" s="1">
        <v>1899</v>
      </c>
      <c r="C31" s="1" t="s">
        <v>22</v>
      </c>
      <c r="D31" s="1">
        <v>27</v>
      </c>
      <c r="E31" s="5">
        <v>30.36</v>
      </c>
      <c r="F31" s="6">
        <v>30.34</v>
      </c>
      <c r="G31" s="1">
        <v>34.5</v>
      </c>
      <c r="H31" s="1">
        <v>33.5</v>
      </c>
      <c r="I31" s="1">
        <v>33</v>
      </c>
      <c r="J31" s="6">
        <v>43</v>
      </c>
      <c r="K31" s="1">
        <v>0.5</v>
      </c>
      <c r="L31" s="6">
        <v>2.5</v>
      </c>
      <c r="M31" s="5">
        <v>0.17</v>
      </c>
      <c r="N31" s="6">
        <v>0.13400000000000001</v>
      </c>
      <c r="O31" s="1">
        <v>84</v>
      </c>
      <c r="P31" s="6">
        <v>68</v>
      </c>
      <c r="Q31" s="1" t="s">
        <v>31</v>
      </c>
      <c r="R31" s="1" t="s">
        <v>25</v>
      </c>
      <c r="S31" s="1" t="s">
        <v>29</v>
      </c>
      <c r="T31" s="6" t="s">
        <v>25</v>
      </c>
      <c r="U31" s="1" t="s">
        <v>25</v>
      </c>
      <c r="V31" s="1" t="s">
        <v>25</v>
      </c>
      <c r="W31" s="9" t="s">
        <v>25</v>
      </c>
    </row>
    <row r="32" spans="1:23" s="1" customFormat="1" x14ac:dyDescent="0.2">
      <c r="A32" s="5" t="s">
        <v>46</v>
      </c>
      <c r="B32" s="1">
        <v>1899</v>
      </c>
      <c r="C32" s="1" t="s">
        <v>22</v>
      </c>
      <c r="D32" s="1">
        <v>28</v>
      </c>
      <c r="E32" s="5">
        <v>30.29</v>
      </c>
      <c r="F32" s="6">
        <v>30.26</v>
      </c>
      <c r="G32" s="1">
        <v>42.5</v>
      </c>
      <c r="H32" s="1">
        <v>51</v>
      </c>
      <c r="I32" s="1">
        <v>31</v>
      </c>
      <c r="J32" s="6">
        <v>53</v>
      </c>
      <c r="K32" s="1">
        <v>0.7</v>
      </c>
      <c r="L32" s="6">
        <v>2.8</v>
      </c>
      <c r="M32" s="5">
        <v>0.25700000000000001</v>
      </c>
      <c r="N32" s="6">
        <v>0.30399999999999999</v>
      </c>
      <c r="O32" s="1">
        <v>98</v>
      </c>
      <c r="P32" s="6">
        <v>81</v>
      </c>
      <c r="Q32" s="1" t="s">
        <v>44</v>
      </c>
      <c r="R32" s="1" t="s">
        <v>25</v>
      </c>
      <c r="S32" s="1" t="s">
        <v>29</v>
      </c>
      <c r="T32" s="6" t="s">
        <v>25</v>
      </c>
      <c r="U32" s="1" t="s">
        <v>25</v>
      </c>
      <c r="V32" s="1" t="s">
        <v>25</v>
      </c>
      <c r="W32" s="9">
        <v>0.06</v>
      </c>
    </row>
    <row r="33" spans="1:23" s="1" customFormat="1" x14ac:dyDescent="0.2">
      <c r="A33" s="10"/>
      <c r="B33" s="11"/>
      <c r="C33" s="11"/>
      <c r="D33" s="12" t="s">
        <v>45</v>
      </c>
      <c r="E33" s="11">
        <v>29.725999999999999</v>
      </c>
      <c r="F33" s="12">
        <v>29.727</v>
      </c>
      <c r="G33" s="10">
        <v>38.200000000000003</v>
      </c>
      <c r="H33" s="11">
        <v>38.799999999999997</v>
      </c>
      <c r="I33" s="11">
        <v>33.9</v>
      </c>
      <c r="J33" s="12">
        <v>43.9</v>
      </c>
      <c r="K33" s="10">
        <v>1.4</v>
      </c>
      <c r="L33" s="12">
        <v>2</v>
      </c>
      <c r="M33" s="11">
        <v>0.20300000000000001</v>
      </c>
      <c r="N33" s="11">
        <v>0.19900000000000001</v>
      </c>
      <c r="O33" s="10">
        <v>86.5</v>
      </c>
      <c r="P33" s="12">
        <v>82.2</v>
      </c>
      <c r="Q33" s="10" t="s">
        <v>25</v>
      </c>
      <c r="R33" s="11" t="s">
        <v>25</v>
      </c>
      <c r="S33" s="11" t="s">
        <v>25</v>
      </c>
      <c r="T33" s="12" t="s">
        <v>25</v>
      </c>
      <c r="U33" s="10" t="s">
        <v>25</v>
      </c>
      <c r="V33" s="12" t="s">
        <v>25</v>
      </c>
      <c r="W33" s="13">
        <v>1.55</v>
      </c>
    </row>
    <row r="34" spans="1:23" x14ac:dyDescent="0.2">
      <c r="E34">
        <f>SUM(E5:E32)/28</f>
        <v>29.726785714285715</v>
      </c>
      <c r="F34">
        <f>SUM(F5:F32)/28</f>
        <v>29.728214285714284</v>
      </c>
    </row>
  </sheetData>
  <mergeCells count="8">
    <mergeCell ref="E2:F2"/>
    <mergeCell ref="G2:J2"/>
    <mergeCell ref="U2:V2"/>
    <mergeCell ref="K3:L3"/>
    <mergeCell ref="M3:N3"/>
    <mergeCell ref="O3:P3"/>
    <mergeCell ref="K2:P2"/>
    <mergeCell ref="Q2:T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BB8FD-655A-4863-88F4-7CCF8E717079}">
  <sheetPr codeName="Sheet1"/>
  <dimension ref="A2:W34"/>
  <sheetViews>
    <sheetView tabSelected="1" workbookViewId="0">
      <pane ySplit="3" topLeftCell="A7" activePane="bottomLeft" state="frozen"/>
      <selection activeCell="H8" sqref="H8"/>
      <selection pane="bottomLeft" activeCell="H16" sqref="H16"/>
    </sheetView>
  </sheetViews>
  <sheetFormatPr baseColWidth="10" defaultColWidth="9.1640625" defaultRowHeight="15" x14ac:dyDescent="0.2"/>
  <cols>
    <col min="1" max="1" width="20.6640625" style="1" customWidth="1"/>
    <col min="2" max="2" width="5" style="1" bestFit="1" customWidth="1"/>
    <col min="3" max="3" width="10.6640625" style="1" customWidth="1"/>
    <col min="4" max="4" width="6.83203125" style="1" bestFit="1" customWidth="1"/>
    <col min="5" max="20" width="8.6640625" style="1" customWidth="1"/>
    <col min="21" max="21" width="10.6640625" style="1" customWidth="1"/>
    <col min="22" max="16384" width="9.1640625" style="1"/>
  </cols>
  <sheetData>
    <row r="2" spans="1:23" s="2" customFormat="1" ht="32" x14ac:dyDescent="0.2">
      <c r="A2" s="14"/>
      <c r="B2" s="15"/>
      <c r="C2" s="15"/>
      <c r="D2" s="15"/>
      <c r="E2" s="31" t="s">
        <v>0</v>
      </c>
      <c r="F2" s="32"/>
      <c r="G2" s="33" t="s">
        <v>1</v>
      </c>
      <c r="H2" s="33"/>
      <c r="I2" s="33"/>
      <c r="J2" s="34"/>
      <c r="K2" s="29" t="s">
        <v>2</v>
      </c>
      <c r="L2" s="33"/>
      <c r="M2" s="33"/>
      <c r="N2" s="33"/>
      <c r="O2" s="33"/>
      <c r="P2" s="34"/>
      <c r="Q2" s="33" t="s">
        <v>3</v>
      </c>
      <c r="R2" s="33"/>
      <c r="S2" s="33"/>
      <c r="T2" s="34"/>
      <c r="U2" s="29" t="s">
        <v>4</v>
      </c>
      <c r="V2" s="30"/>
      <c r="W2" s="7" t="s">
        <v>5</v>
      </c>
    </row>
    <row r="3" spans="1:23" s="2" customFormat="1" x14ac:dyDescent="0.2">
      <c r="A3" s="3"/>
      <c r="E3" s="16"/>
      <c r="F3" s="17"/>
      <c r="J3" s="4"/>
      <c r="K3" s="35" t="s">
        <v>6</v>
      </c>
      <c r="L3" s="36"/>
      <c r="M3" s="35" t="s">
        <v>7</v>
      </c>
      <c r="N3" s="36"/>
      <c r="O3" s="37" t="s">
        <v>8</v>
      </c>
      <c r="P3" s="38"/>
      <c r="T3" s="4"/>
      <c r="V3" s="1"/>
      <c r="W3" s="18"/>
    </row>
    <row r="4" spans="1:23" s="2" customFormat="1" x14ac:dyDescent="0.2">
      <c r="A4" s="3" t="s">
        <v>9</v>
      </c>
      <c r="B4" s="2" t="s">
        <v>10</v>
      </c>
      <c r="C4" s="2" t="s">
        <v>11</v>
      </c>
      <c r="D4" s="2" t="s">
        <v>12</v>
      </c>
      <c r="E4" s="3" t="s">
        <v>13</v>
      </c>
      <c r="F4" s="4" t="s">
        <v>14</v>
      </c>
      <c r="G4" s="2" t="s">
        <v>13</v>
      </c>
      <c r="H4" s="2" t="s">
        <v>14</v>
      </c>
      <c r="I4" s="2" t="s">
        <v>15</v>
      </c>
      <c r="J4" s="4" t="s">
        <v>16</v>
      </c>
      <c r="K4" s="2" t="s">
        <v>13</v>
      </c>
      <c r="L4" s="4" t="s">
        <v>14</v>
      </c>
      <c r="M4" s="3" t="s">
        <v>13</v>
      </c>
      <c r="N4" s="4" t="s">
        <v>14</v>
      </c>
      <c r="O4" s="2" t="s">
        <v>13</v>
      </c>
      <c r="P4" s="4" t="s">
        <v>14</v>
      </c>
      <c r="Q4" s="2" t="s">
        <v>17</v>
      </c>
      <c r="R4" s="2" t="s">
        <v>18</v>
      </c>
      <c r="S4" s="2" t="s">
        <v>19</v>
      </c>
      <c r="T4" s="4" t="s">
        <v>20</v>
      </c>
      <c r="U4" s="2" t="s">
        <v>13</v>
      </c>
      <c r="V4" s="2" t="s">
        <v>14</v>
      </c>
      <c r="W4" s="8" t="s">
        <v>13</v>
      </c>
    </row>
    <row r="5" spans="1:23" x14ac:dyDescent="0.2">
      <c r="A5" s="5" t="s">
        <v>48</v>
      </c>
      <c r="B5" s="1">
        <v>1899</v>
      </c>
      <c r="C5" s="1" t="s">
        <v>22</v>
      </c>
      <c r="D5" s="1">
        <v>1</v>
      </c>
      <c r="E5" s="5">
        <v>28.32</v>
      </c>
      <c r="F5" s="6">
        <v>28.37</v>
      </c>
      <c r="G5" s="1">
        <v>30.6</v>
      </c>
      <c r="H5" s="1">
        <v>30.6</v>
      </c>
      <c r="I5" s="1">
        <v>28.4</v>
      </c>
      <c r="J5" s="6">
        <v>35</v>
      </c>
      <c r="K5" s="1">
        <v>1.1000000000000001</v>
      </c>
      <c r="L5" s="6">
        <v>1.1000000000000001</v>
      </c>
      <c r="M5" s="5">
        <v>0.14299999999999999</v>
      </c>
      <c r="N5" s="6">
        <v>0.14299999999999999</v>
      </c>
      <c r="O5" s="1">
        <v>84</v>
      </c>
      <c r="P5" s="6">
        <v>84</v>
      </c>
      <c r="Q5" s="1" t="s">
        <v>47</v>
      </c>
      <c r="R5" s="1">
        <v>1</v>
      </c>
      <c r="S5" s="1" t="s">
        <v>24</v>
      </c>
      <c r="T5" s="6">
        <v>1</v>
      </c>
      <c r="U5" s="1">
        <v>3</v>
      </c>
      <c r="V5" s="1">
        <v>7</v>
      </c>
      <c r="W5" s="9">
        <v>0.01</v>
      </c>
    </row>
    <row r="6" spans="1:23" x14ac:dyDescent="0.2">
      <c r="A6" s="5" t="s">
        <v>48</v>
      </c>
      <c r="B6" s="1">
        <v>1899</v>
      </c>
      <c r="C6" s="1" t="s">
        <v>22</v>
      </c>
      <c r="D6" s="1">
        <v>2</v>
      </c>
      <c r="E6" s="5">
        <v>28.44</v>
      </c>
      <c r="F6" s="6">
        <v>28.52</v>
      </c>
      <c r="G6" s="1">
        <v>28</v>
      </c>
      <c r="H6" s="1">
        <v>30.9</v>
      </c>
      <c r="I6" s="1">
        <v>26.9</v>
      </c>
      <c r="J6" s="6">
        <v>32</v>
      </c>
      <c r="K6" s="1">
        <v>0.5</v>
      </c>
      <c r="L6" s="6">
        <v>0.7</v>
      </c>
      <c r="M6" s="5">
        <v>0.13700000000000001</v>
      </c>
      <c r="N6" s="6">
        <v>0.155</v>
      </c>
      <c r="O6" s="1">
        <v>89</v>
      </c>
      <c r="P6" s="6">
        <v>90</v>
      </c>
      <c r="Q6" s="1" t="s">
        <v>24</v>
      </c>
      <c r="R6" s="1">
        <v>0.5</v>
      </c>
      <c r="S6" s="1" t="s">
        <v>24</v>
      </c>
      <c r="T6" s="6">
        <v>0.5</v>
      </c>
      <c r="U6" s="1">
        <v>2</v>
      </c>
      <c r="V6" s="1">
        <v>10</v>
      </c>
      <c r="W6" s="9">
        <v>0.02</v>
      </c>
    </row>
    <row r="7" spans="1:23" x14ac:dyDescent="0.2">
      <c r="A7" s="5" t="s">
        <v>48</v>
      </c>
      <c r="B7" s="1">
        <v>1899</v>
      </c>
      <c r="C7" s="1" t="s">
        <v>22</v>
      </c>
      <c r="D7" s="1">
        <v>3</v>
      </c>
      <c r="E7" s="5">
        <v>28.61</v>
      </c>
      <c r="F7" s="6">
        <v>28.67</v>
      </c>
      <c r="G7" s="1">
        <v>30.4</v>
      </c>
      <c r="H7" s="1">
        <v>31.8</v>
      </c>
      <c r="I7" s="1">
        <v>28.4</v>
      </c>
      <c r="J7" s="6">
        <v>33.700000000000003</v>
      </c>
      <c r="K7" s="1">
        <v>0.9</v>
      </c>
      <c r="L7" s="6">
        <v>1.1000000000000001</v>
      </c>
      <c r="M7" s="5">
        <v>0.14699999999999999</v>
      </c>
      <c r="N7" s="6">
        <v>0.154</v>
      </c>
      <c r="O7" s="1">
        <v>86</v>
      </c>
      <c r="P7" s="6">
        <v>85</v>
      </c>
      <c r="Q7" s="1" t="s">
        <v>24</v>
      </c>
      <c r="R7" s="1">
        <v>0.5</v>
      </c>
      <c r="S7" s="1" t="s">
        <v>24</v>
      </c>
      <c r="T7" s="6">
        <v>0.5</v>
      </c>
      <c r="U7" s="1">
        <v>7</v>
      </c>
      <c r="V7" s="1">
        <v>9</v>
      </c>
      <c r="W7" s="9" t="s">
        <v>25</v>
      </c>
    </row>
    <row r="8" spans="1:23" x14ac:dyDescent="0.2">
      <c r="A8" s="5" t="s">
        <v>48</v>
      </c>
      <c r="B8" s="1">
        <v>1899</v>
      </c>
      <c r="C8" s="1" t="s">
        <v>22</v>
      </c>
      <c r="D8" s="1">
        <v>4</v>
      </c>
      <c r="E8" s="5">
        <v>28.66</v>
      </c>
      <c r="F8" s="6">
        <v>28.49</v>
      </c>
      <c r="G8" s="1">
        <v>15.9</v>
      </c>
      <c r="H8" s="1">
        <v>13.9</v>
      </c>
      <c r="I8" s="1">
        <v>13.3</v>
      </c>
      <c r="J8" s="6">
        <v>32.799999999999997</v>
      </c>
      <c r="K8" s="1">
        <v>0.4</v>
      </c>
      <c r="L8" s="6">
        <v>0.4</v>
      </c>
      <c r="M8" s="5">
        <v>7.6999999999999999E-2</v>
      </c>
      <c r="N8" s="6">
        <v>7.0000000000000007E-2</v>
      </c>
      <c r="O8" s="1">
        <v>87</v>
      </c>
      <c r="P8" s="6">
        <v>86</v>
      </c>
      <c r="Q8" s="1" t="s">
        <v>47</v>
      </c>
      <c r="R8" s="1">
        <v>0.5</v>
      </c>
      <c r="S8" s="1" t="s">
        <v>47</v>
      </c>
      <c r="T8" s="6">
        <v>0.5</v>
      </c>
      <c r="U8" s="1">
        <v>0</v>
      </c>
      <c r="V8" s="1">
        <v>0</v>
      </c>
      <c r="W8" s="9" t="s">
        <v>25</v>
      </c>
    </row>
    <row r="9" spans="1:23" x14ac:dyDescent="0.2">
      <c r="A9" s="5" t="s">
        <v>48</v>
      </c>
      <c r="B9" s="1">
        <v>1899</v>
      </c>
      <c r="C9" s="1" t="s">
        <v>22</v>
      </c>
      <c r="D9" s="1">
        <v>5</v>
      </c>
      <c r="E9" s="5">
        <v>28.46</v>
      </c>
      <c r="F9" s="6">
        <v>28.64</v>
      </c>
      <c r="G9" s="1">
        <v>19.100000000000001</v>
      </c>
      <c r="H9" s="1">
        <v>22.9</v>
      </c>
      <c r="I9" s="1">
        <v>11</v>
      </c>
      <c r="J9" s="6">
        <v>29.1</v>
      </c>
      <c r="K9" s="1">
        <v>0.6</v>
      </c>
      <c r="L9" s="6">
        <v>0.4</v>
      </c>
      <c r="M9" s="5">
        <v>8.3000000000000004E-2</v>
      </c>
      <c r="N9" s="6">
        <v>0.109</v>
      </c>
      <c r="O9" s="1">
        <v>80</v>
      </c>
      <c r="P9" s="6">
        <v>89</v>
      </c>
      <c r="Q9" s="1" t="s">
        <v>24</v>
      </c>
      <c r="R9" s="1">
        <v>0.5</v>
      </c>
      <c r="S9" s="1" t="s">
        <v>47</v>
      </c>
      <c r="T9" s="6">
        <v>0.5</v>
      </c>
      <c r="U9" s="1">
        <v>8</v>
      </c>
      <c r="V9" s="1">
        <v>8</v>
      </c>
      <c r="W9" s="9">
        <v>0.01</v>
      </c>
    </row>
    <row r="10" spans="1:23" x14ac:dyDescent="0.2">
      <c r="A10" s="5" t="s">
        <v>48</v>
      </c>
      <c r="B10" s="1">
        <v>1899</v>
      </c>
      <c r="C10" s="1" t="s">
        <v>22</v>
      </c>
      <c r="D10" s="1">
        <v>6</v>
      </c>
      <c r="E10" s="5">
        <v>28.62</v>
      </c>
      <c r="F10" s="6">
        <v>28.46</v>
      </c>
      <c r="G10" s="1">
        <v>30.6</v>
      </c>
      <c r="H10" s="1">
        <v>31</v>
      </c>
      <c r="I10" s="1">
        <v>20.3</v>
      </c>
      <c r="J10" s="6">
        <v>32.5</v>
      </c>
      <c r="K10" s="1">
        <v>1.1000000000000001</v>
      </c>
      <c r="L10" s="6">
        <v>0.7</v>
      </c>
      <c r="M10" s="5">
        <v>0.14299999999999999</v>
      </c>
      <c r="N10" s="6">
        <v>0.156</v>
      </c>
      <c r="O10" s="1">
        <v>84</v>
      </c>
      <c r="P10" s="6">
        <v>89</v>
      </c>
      <c r="Q10" s="1" t="s">
        <v>31</v>
      </c>
      <c r="R10" s="1">
        <v>0.5</v>
      </c>
      <c r="S10" s="1" t="s">
        <v>31</v>
      </c>
      <c r="T10" s="6">
        <v>0.5</v>
      </c>
      <c r="U10" s="1">
        <v>8</v>
      </c>
      <c r="V10" s="1">
        <v>8</v>
      </c>
      <c r="W10" s="9">
        <v>0.02</v>
      </c>
    </row>
    <row r="11" spans="1:23" x14ac:dyDescent="0.2">
      <c r="A11" s="5" t="s">
        <v>48</v>
      </c>
      <c r="B11" s="1">
        <v>1899</v>
      </c>
      <c r="C11" s="1" t="s">
        <v>22</v>
      </c>
      <c r="D11" s="1">
        <v>7</v>
      </c>
      <c r="E11" s="5">
        <v>28.2</v>
      </c>
      <c r="F11" s="6">
        <v>28.07</v>
      </c>
      <c r="G11" s="1">
        <v>33.6</v>
      </c>
      <c r="H11" s="1">
        <v>34.799999999999997</v>
      </c>
      <c r="I11" s="1">
        <v>28.8</v>
      </c>
      <c r="J11" s="6">
        <v>37</v>
      </c>
      <c r="K11" s="1">
        <v>1.1000000000000001</v>
      </c>
      <c r="L11" s="6">
        <v>0.6</v>
      </c>
      <c r="M11" s="5">
        <v>0.17</v>
      </c>
      <c r="N11" s="6">
        <v>0.19</v>
      </c>
      <c r="O11" s="1">
        <v>88</v>
      </c>
      <c r="P11" s="6">
        <v>94</v>
      </c>
      <c r="Q11" s="1" t="s">
        <v>47</v>
      </c>
      <c r="R11" s="1">
        <v>0.5</v>
      </c>
      <c r="S11" s="1" t="s">
        <v>47</v>
      </c>
      <c r="T11" s="6">
        <v>0.5</v>
      </c>
      <c r="U11" s="1">
        <v>10</v>
      </c>
      <c r="V11" s="1">
        <v>10</v>
      </c>
      <c r="W11" s="9">
        <v>0.15</v>
      </c>
    </row>
    <row r="12" spans="1:23" x14ac:dyDescent="0.2">
      <c r="A12" s="5" t="s">
        <v>48</v>
      </c>
      <c r="B12" s="1">
        <v>1899</v>
      </c>
      <c r="C12" s="1" t="s">
        <v>22</v>
      </c>
      <c r="D12" s="1">
        <v>8</v>
      </c>
      <c r="E12" s="5">
        <v>27.98</v>
      </c>
      <c r="F12" s="6">
        <v>27.78</v>
      </c>
      <c r="G12" s="1">
        <v>37.9</v>
      </c>
      <c r="H12" s="1">
        <v>37.9</v>
      </c>
      <c r="I12" s="1">
        <v>33</v>
      </c>
      <c r="J12" s="6">
        <v>41.9</v>
      </c>
      <c r="K12" s="1">
        <v>0.8</v>
      </c>
      <c r="L12" s="6">
        <v>0.6</v>
      </c>
      <c r="M12" s="5">
        <v>0.21099999999999999</v>
      </c>
      <c r="N12" s="6">
        <v>0.215</v>
      </c>
      <c r="O12" s="1">
        <v>93</v>
      </c>
      <c r="P12" s="6">
        <v>95</v>
      </c>
      <c r="Q12" s="1" t="s">
        <v>38</v>
      </c>
      <c r="R12" s="1">
        <v>0.5</v>
      </c>
      <c r="S12" s="1" t="s">
        <v>47</v>
      </c>
      <c r="T12" s="6">
        <v>0.5</v>
      </c>
      <c r="U12" s="1">
        <v>10</v>
      </c>
      <c r="V12" s="1">
        <v>10</v>
      </c>
      <c r="W12" s="9">
        <v>0.19</v>
      </c>
    </row>
    <row r="13" spans="1:23" x14ac:dyDescent="0.2">
      <c r="A13" s="5" t="s">
        <v>48</v>
      </c>
      <c r="B13" s="1">
        <v>1899</v>
      </c>
      <c r="C13" s="1" t="s">
        <v>22</v>
      </c>
      <c r="D13" s="1">
        <v>9</v>
      </c>
      <c r="E13" s="5">
        <v>27.85</v>
      </c>
      <c r="F13" s="6">
        <v>27.77</v>
      </c>
      <c r="G13" s="1">
        <v>38.6</v>
      </c>
      <c r="H13" s="1">
        <v>40.6</v>
      </c>
      <c r="I13" s="1">
        <v>36.299999999999997</v>
      </c>
      <c r="J13" s="6">
        <v>43.8</v>
      </c>
      <c r="K13" s="1">
        <v>1.7</v>
      </c>
      <c r="L13" s="6">
        <v>1.8</v>
      </c>
      <c r="M13" s="5">
        <v>0.20100000000000001</v>
      </c>
      <c r="N13" s="6">
        <v>0.216</v>
      </c>
      <c r="O13" s="1">
        <v>86</v>
      </c>
      <c r="P13" s="6">
        <v>86</v>
      </c>
      <c r="Q13" s="1" t="s">
        <v>35</v>
      </c>
      <c r="R13" s="1">
        <v>1</v>
      </c>
      <c r="S13" s="1" t="s">
        <v>31</v>
      </c>
      <c r="T13" s="6">
        <v>0.5</v>
      </c>
      <c r="U13" s="1">
        <v>7</v>
      </c>
      <c r="V13" s="1">
        <v>7</v>
      </c>
      <c r="W13" s="9">
        <v>0.08</v>
      </c>
    </row>
    <row r="14" spans="1:23" x14ac:dyDescent="0.2">
      <c r="A14" s="5" t="s">
        <v>48</v>
      </c>
      <c r="B14" s="1">
        <v>1899</v>
      </c>
      <c r="C14" s="1" t="s">
        <v>22</v>
      </c>
      <c r="D14" s="1">
        <v>10</v>
      </c>
      <c r="E14" s="5">
        <v>27.92</v>
      </c>
      <c r="F14" s="6">
        <v>27.86</v>
      </c>
      <c r="G14" s="1">
        <v>39.799999999999997</v>
      </c>
      <c r="H14" s="1">
        <v>43.6</v>
      </c>
      <c r="I14" s="1">
        <v>36.700000000000003</v>
      </c>
      <c r="J14" s="6">
        <v>44</v>
      </c>
      <c r="K14" s="1">
        <v>1.5</v>
      </c>
      <c r="L14" s="6">
        <v>1.8</v>
      </c>
      <c r="M14" s="5">
        <v>0.215</v>
      </c>
      <c r="N14" s="6">
        <v>0.245</v>
      </c>
      <c r="O14" s="1">
        <v>88</v>
      </c>
      <c r="P14" s="6">
        <v>86</v>
      </c>
      <c r="Q14" s="1" t="s">
        <v>35</v>
      </c>
      <c r="R14" s="1">
        <v>1</v>
      </c>
      <c r="S14" s="1" t="s">
        <v>35</v>
      </c>
      <c r="T14" s="6">
        <v>4</v>
      </c>
      <c r="U14" s="1">
        <v>8</v>
      </c>
      <c r="V14" s="1">
        <v>8</v>
      </c>
      <c r="W14" s="9">
        <v>0.45</v>
      </c>
    </row>
    <row r="15" spans="1:23" x14ac:dyDescent="0.2">
      <c r="A15" s="5" t="s">
        <v>48</v>
      </c>
      <c r="B15" s="1">
        <v>1899</v>
      </c>
      <c r="C15" s="1" t="s">
        <v>22</v>
      </c>
      <c r="D15" s="1">
        <v>11</v>
      </c>
      <c r="E15" s="5">
        <v>27.97</v>
      </c>
      <c r="F15" s="6">
        <v>27.87</v>
      </c>
      <c r="G15" s="1">
        <v>42.3</v>
      </c>
      <c r="H15" s="1">
        <v>43.6</v>
      </c>
      <c r="I15" s="1">
        <v>38.299999999999997</v>
      </c>
      <c r="J15" s="6">
        <v>45.1</v>
      </c>
      <c r="K15" s="1">
        <v>1.4</v>
      </c>
      <c r="L15" s="6">
        <v>0.7</v>
      </c>
      <c r="M15" s="5">
        <v>0.24</v>
      </c>
      <c r="N15" s="6">
        <v>0.26800000000000002</v>
      </c>
      <c r="O15" s="1">
        <v>89</v>
      </c>
      <c r="P15" s="6">
        <v>94</v>
      </c>
      <c r="Q15" s="1" t="s">
        <v>35</v>
      </c>
      <c r="R15" s="1">
        <v>2</v>
      </c>
      <c r="S15" s="1" t="s">
        <v>35</v>
      </c>
      <c r="T15" s="6">
        <v>2</v>
      </c>
      <c r="U15" s="1">
        <v>8</v>
      </c>
      <c r="V15" s="1">
        <v>8</v>
      </c>
      <c r="W15" s="9">
        <v>0.28999999999999998</v>
      </c>
    </row>
    <row r="16" spans="1:23" x14ac:dyDescent="0.2">
      <c r="A16" s="5" t="s">
        <v>48</v>
      </c>
      <c r="B16" s="1">
        <v>1899</v>
      </c>
      <c r="C16" s="1" t="s">
        <v>22</v>
      </c>
      <c r="D16" s="1">
        <v>12</v>
      </c>
      <c r="E16" s="5">
        <v>27.72</v>
      </c>
      <c r="F16" s="6">
        <v>27.93</v>
      </c>
      <c r="G16" s="1">
        <v>37.9</v>
      </c>
      <c r="H16" s="1">
        <v>37.299999999999997</v>
      </c>
      <c r="I16" s="1">
        <v>35.700000000000003</v>
      </c>
      <c r="J16" s="6">
        <v>44.2</v>
      </c>
      <c r="K16" s="1">
        <v>0.7</v>
      </c>
      <c r="L16" s="6">
        <v>1.8</v>
      </c>
      <c r="M16" s="5">
        <v>0.21299999999999999</v>
      </c>
      <c r="N16" s="6">
        <v>0.188</v>
      </c>
      <c r="O16" s="1">
        <v>94</v>
      </c>
      <c r="P16" s="6">
        <v>85</v>
      </c>
      <c r="Q16" s="1" t="s">
        <v>35</v>
      </c>
      <c r="R16" s="1">
        <v>0.5</v>
      </c>
      <c r="S16" s="1" t="s">
        <v>35</v>
      </c>
      <c r="T16" s="6">
        <v>0.5</v>
      </c>
      <c r="U16" s="1">
        <v>7</v>
      </c>
      <c r="V16" s="1">
        <v>2</v>
      </c>
      <c r="W16" s="9" t="s">
        <v>25</v>
      </c>
    </row>
    <row r="17" spans="1:23" x14ac:dyDescent="0.2">
      <c r="A17" s="5" t="s">
        <v>48</v>
      </c>
      <c r="B17" s="1">
        <v>1899</v>
      </c>
      <c r="C17" s="1" t="s">
        <v>22</v>
      </c>
      <c r="D17" s="1">
        <v>13</v>
      </c>
      <c r="E17" s="5">
        <v>27.87</v>
      </c>
      <c r="F17" s="6">
        <v>27.58</v>
      </c>
      <c r="G17" s="1">
        <v>34.700000000000003</v>
      </c>
      <c r="H17" s="1">
        <v>40.299999999999997</v>
      </c>
      <c r="I17" s="1">
        <v>30</v>
      </c>
      <c r="J17" s="6">
        <v>41.2</v>
      </c>
      <c r="K17" s="1">
        <v>0.9</v>
      </c>
      <c r="L17" s="6">
        <v>2.8</v>
      </c>
      <c r="M17" s="5">
        <v>0.184</v>
      </c>
      <c r="N17" s="6">
        <v>0.19500000000000001</v>
      </c>
      <c r="O17" s="1">
        <v>92</v>
      </c>
      <c r="P17" s="6">
        <v>78</v>
      </c>
      <c r="Q17" s="1" t="s">
        <v>35</v>
      </c>
      <c r="R17" s="1">
        <v>0.5</v>
      </c>
      <c r="S17" s="1" t="s">
        <v>35</v>
      </c>
      <c r="T17" s="6">
        <v>1</v>
      </c>
      <c r="U17" s="1">
        <v>8</v>
      </c>
      <c r="V17" s="1">
        <v>6</v>
      </c>
      <c r="W17" s="9">
        <v>0.32</v>
      </c>
    </row>
    <row r="18" spans="1:23" x14ac:dyDescent="0.2">
      <c r="A18" s="5" t="s">
        <v>48</v>
      </c>
      <c r="B18" s="1">
        <v>1899</v>
      </c>
      <c r="C18" s="1" t="s">
        <v>22</v>
      </c>
      <c r="D18" s="1">
        <v>14</v>
      </c>
      <c r="E18" s="5">
        <v>27.79</v>
      </c>
      <c r="F18" s="6">
        <v>28.14</v>
      </c>
      <c r="G18" s="1">
        <v>35.9</v>
      </c>
      <c r="H18" s="1">
        <v>38.6</v>
      </c>
      <c r="I18" s="1">
        <v>34</v>
      </c>
      <c r="J18" s="6">
        <v>42.2</v>
      </c>
      <c r="K18" s="1">
        <v>1.4</v>
      </c>
      <c r="L18" s="6">
        <v>2.4</v>
      </c>
      <c r="M18" s="5">
        <v>0.186</v>
      </c>
      <c r="N18" s="6">
        <v>0.189</v>
      </c>
      <c r="O18" s="1">
        <v>88</v>
      </c>
      <c r="P18" s="6">
        <v>81</v>
      </c>
      <c r="Q18" s="1" t="s">
        <v>35</v>
      </c>
      <c r="R18" s="1">
        <v>4</v>
      </c>
      <c r="S18" s="1" t="s">
        <v>35</v>
      </c>
      <c r="T18" s="6">
        <v>6</v>
      </c>
      <c r="U18" s="1">
        <v>7</v>
      </c>
      <c r="V18" s="1">
        <v>7</v>
      </c>
      <c r="W18" s="9">
        <v>0.05</v>
      </c>
    </row>
    <row r="19" spans="1:23" x14ac:dyDescent="0.2">
      <c r="A19" s="5" t="s">
        <v>48</v>
      </c>
      <c r="B19" s="1">
        <v>1899</v>
      </c>
      <c r="C19" s="1" t="s">
        <v>22</v>
      </c>
      <c r="D19" s="1">
        <v>15</v>
      </c>
      <c r="E19" s="5">
        <v>28.24</v>
      </c>
      <c r="F19" s="6">
        <v>28.43</v>
      </c>
      <c r="G19" s="1">
        <v>39.9</v>
      </c>
      <c r="H19" s="1">
        <v>36.9</v>
      </c>
      <c r="I19" s="1">
        <v>35.299999999999997</v>
      </c>
      <c r="J19" s="6">
        <v>43</v>
      </c>
      <c r="K19" s="1">
        <v>2.4</v>
      </c>
      <c r="L19" s="6">
        <v>2.4</v>
      </c>
      <c r="M19" s="5">
        <v>0.2</v>
      </c>
      <c r="N19" s="6">
        <v>0.17499999999999999</v>
      </c>
      <c r="O19" s="1">
        <v>81</v>
      </c>
      <c r="P19" s="6">
        <v>81</v>
      </c>
      <c r="Q19" s="1" t="s">
        <v>35</v>
      </c>
      <c r="R19" s="1">
        <v>6</v>
      </c>
      <c r="S19" s="1" t="s">
        <v>35</v>
      </c>
      <c r="T19" s="6">
        <v>4</v>
      </c>
      <c r="U19" s="1">
        <v>8</v>
      </c>
      <c r="V19" s="1">
        <v>6</v>
      </c>
      <c r="W19" s="9" t="s">
        <v>25</v>
      </c>
    </row>
    <row r="20" spans="1:23" x14ac:dyDescent="0.2">
      <c r="A20" s="5" t="s">
        <v>48</v>
      </c>
      <c r="B20" s="1">
        <v>1899</v>
      </c>
      <c r="C20" s="1" t="s">
        <v>22</v>
      </c>
      <c r="D20" s="1">
        <v>16</v>
      </c>
      <c r="E20" s="5">
        <v>28.42</v>
      </c>
      <c r="F20" s="6">
        <v>28.46</v>
      </c>
      <c r="G20" s="1">
        <v>36.6</v>
      </c>
      <c r="H20" s="1">
        <v>42.6</v>
      </c>
      <c r="I20" s="1">
        <v>32.299999999999997</v>
      </c>
      <c r="J20" s="6">
        <v>43.2</v>
      </c>
      <c r="K20" s="1">
        <v>2.4</v>
      </c>
      <c r="L20" s="6">
        <v>1.1000000000000001</v>
      </c>
      <c r="M20" s="5">
        <v>0.17299999999999999</v>
      </c>
      <c r="N20" s="6">
        <v>0.249</v>
      </c>
      <c r="O20" s="1">
        <v>80</v>
      </c>
      <c r="P20" s="6">
        <v>91</v>
      </c>
      <c r="Q20" s="1" t="s">
        <v>35</v>
      </c>
      <c r="R20" s="1">
        <v>4</v>
      </c>
      <c r="S20" s="1" t="s">
        <v>35</v>
      </c>
      <c r="T20" s="6">
        <v>6</v>
      </c>
      <c r="U20" s="1">
        <v>8</v>
      </c>
      <c r="V20" s="1">
        <v>9</v>
      </c>
      <c r="W20" s="9" t="s">
        <v>25</v>
      </c>
    </row>
    <row r="21" spans="1:23" x14ac:dyDescent="0.2">
      <c r="A21" s="5" t="s">
        <v>48</v>
      </c>
      <c r="B21" s="1">
        <v>1899</v>
      </c>
      <c r="C21" s="1" t="s">
        <v>22</v>
      </c>
      <c r="D21" s="1">
        <v>17</v>
      </c>
      <c r="E21" s="5">
        <v>28.56</v>
      </c>
      <c r="F21" s="6">
        <v>28.76</v>
      </c>
      <c r="G21" s="1">
        <v>43.3</v>
      </c>
      <c r="H21" s="1">
        <v>43.6</v>
      </c>
      <c r="I21" s="1">
        <v>40.299999999999997</v>
      </c>
      <c r="J21" s="6">
        <v>45.2</v>
      </c>
      <c r="K21" s="1">
        <v>2.5</v>
      </c>
      <c r="L21" s="6">
        <v>1.1000000000000001</v>
      </c>
      <c r="M21" s="5">
        <v>0.22700000000000001</v>
      </c>
      <c r="N21" s="6">
        <v>0.25900000000000001</v>
      </c>
      <c r="O21" s="1">
        <v>81</v>
      </c>
      <c r="P21" s="6">
        <v>91</v>
      </c>
      <c r="Q21" s="1" t="s">
        <v>35</v>
      </c>
      <c r="R21" s="1">
        <v>6</v>
      </c>
      <c r="S21" s="1" t="s">
        <v>35</v>
      </c>
      <c r="T21" s="6">
        <v>1</v>
      </c>
      <c r="U21" s="1">
        <v>8</v>
      </c>
      <c r="V21" s="1">
        <v>8</v>
      </c>
      <c r="W21" s="9">
        <v>0.35</v>
      </c>
    </row>
    <row r="22" spans="1:23" x14ac:dyDescent="0.2">
      <c r="A22" s="5" t="s">
        <v>48</v>
      </c>
      <c r="B22" s="1">
        <v>1899</v>
      </c>
      <c r="C22" s="1" t="s">
        <v>22</v>
      </c>
      <c r="D22" s="1">
        <v>18</v>
      </c>
      <c r="E22" s="5">
        <v>28.77</v>
      </c>
      <c r="F22" s="6">
        <v>28.83</v>
      </c>
      <c r="G22" s="1">
        <v>39.6</v>
      </c>
      <c r="H22" s="1">
        <v>37.1</v>
      </c>
      <c r="I22" s="1">
        <v>35.299999999999997</v>
      </c>
      <c r="J22" s="6">
        <v>48.8</v>
      </c>
      <c r="K22" s="1">
        <v>0.6</v>
      </c>
      <c r="L22" s="6">
        <v>1.3</v>
      </c>
      <c r="M22" s="5">
        <v>0.23100000000000001</v>
      </c>
      <c r="N22" s="6">
        <v>0.19500000000000001</v>
      </c>
      <c r="O22" s="1">
        <v>95</v>
      </c>
      <c r="P22" s="6">
        <v>88</v>
      </c>
      <c r="Q22" s="1" t="s">
        <v>35</v>
      </c>
      <c r="R22" s="1">
        <v>0.5</v>
      </c>
      <c r="S22" s="1" t="s">
        <v>31</v>
      </c>
      <c r="T22" s="6">
        <v>0.5</v>
      </c>
      <c r="U22" s="1">
        <v>10</v>
      </c>
      <c r="V22" s="1">
        <v>9</v>
      </c>
      <c r="W22" s="9">
        <v>0.02</v>
      </c>
    </row>
    <row r="23" spans="1:23" x14ac:dyDescent="0.2">
      <c r="A23" s="5" t="s">
        <v>48</v>
      </c>
      <c r="B23" s="1">
        <v>1899</v>
      </c>
      <c r="C23" s="1" t="s">
        <v>22</v>
      </c>
      <c r="D23" s="1">
        <v>19</v>
      </c>
      <c r="E23" s="5">
        <v>28.91</v>
      </c>
      <c r="F23" s="6">
        <v>29.07</v>
      </c>
      <c r="G23" s="1">
        <v>31.6</v>
      </c>
      <c r="H23" s="1">
        <v>29.6</v>
      </c>
      <c r="I23" s="1">
        <v>28</v>
      </c>
      <c r="J23" s="6">
        <v>44.7</v>
      </c>
      <c r="K23" s="1">
        <v>1</v>
      </c>
      <c r="L23" s="6">
        <v>0.9</v>
      </c>
      <c r="M23" s="5">
        <v>0.155</v>
      </c>
      <c r="N23" s="6">
        <v>0.14000000000000001</v>
      </c>
      <c r="O23" s="1">
        <v>86</v>
      </c>
      <c r="P23" s="6">
        <v>85</v>
      </c>
      <c r="Q23" s="1" t="s">
        <v>31</v>
      </c>
      <c r="R23" s="1">
        <v>0.5</v>
      </c>
      <c r="S23" s="1" t="s">
        <v>31</v>
      </c>
      <c r="T23" s="6">
        <v>0.5</v>
      </c>
      <c r="U23" s="1">
        <v>4</v>
      </c>
      <c r="V23" s="1">
        <v>0</v>
      </c>
      <c r="W23" s="9" t="s">
        <v>25</v>
      </c>
    </row>
    <row r="24" spans="1:23" x14ac:dyDescent="0.2">
      <c r="A24" s="5" t="s">
        <v>48</v>
      </c>
      <c r="B24" s="1">
        <v>1899</v>
      </c>
      <c r="C24" s="1" t="s">
        <v>22</v>
      </c>
      <c r="D24" s="1">
        <v>20</v>
      </c>
      <c r="E24" s="5">
        <v>29.15</v>
      </c>
      <c r="F24" s="6">
        <v>29.19</v>
      </c>
      <c r="G24" s="1">
        <v>19.8</v>
      </c>
      <c r="H24" s="1">
        <v>32.200000000000003</v>
      </c>
      <c r="I24" s="1">
        <v>18.7</v>
      </c>
      <c r="J24" s="6">
        <v>44</v>
      </c>
      <c r="K24" s="1">
        <v>0.8</v>
      </c>
      <c r="L24" s="6">
        <v>0.7</v>
      </c>
      <c r="M24" s="5">
        <v>7.9000000000000001E-2</v>
      </c>
      <c r="N24" s="6">
        <v>0.16700000000000001</v>
      </c>
      <c r="O24" s="1">
        <v>74</v>
      </c>
      <c r="P24" s="6">
        <v>91</v>
      </c>
      <c r="Q24" s="1" t="s">
        <v>43</v>
      </c>
      <c r="R24" s="1">
        <v>0.5</v>
      </c>
      <c r="S24" s="1" t="s">
        <v>47</v>
      </c>
      <c r="T24" s="6">
        <v>0.5</v>
      </c>
      <c r="U24" s="1">
        <v>0</v>
      </c>
      <c r="V24" s="1">
        <v>5</v>
      </c>
      <c r="W24" s="9" t="s">
        <v>25</v>
      </c>
    </row>
    <row r="25" spans="1:23" x14ac:dyDescent="0.2">
      <c r="A25" s="5" t="s">
        <v>48</v>
      </c>
      <c r="B25" s="1">
        <v>1899</v>
      </c>
      <c r="C25" s="1" t="s">
        <v>22</v>
      </c>
      <c r="D25" s="1">
        <v>21</v>
      </c>
      <c r="E25" s="5">
        <v>29.14</v>
      </c>
      <c r="F25" s="6">
        <v>29.14</v>
      </c>
      <c r="G25" s="1">
        <v>37.799999999999997</v>
      </c>
      <c r="H25" s="1">
        <v>32.9</v>
      </c>
      <c r="I25" s="1">
        <v>28.8</v>
      </c>
      <c r="J25" s="6">
        <v>42.7</v>
      </c>
      <c r="K25" s="1">
        <v>1.3</v>
      </c>
      <c r="L25" s="6">
        <v>1.1000000000000001</v>
      </c>
      <c r="M25" s="5">
        <v>0.20200000000000001</v>
      </c>
      <c r="N25" s="6">
        <v>0.16400000000000001</v>
      </c>
      <c r="O25" s="1">
        <v>90</v>
      </c>
      <c r="P25" s="6">
        <v>87</v>
      </c>
      <c r="Q25" s="1" t="s">
        <v>35</v>
      </c>
      <c r="R25" s="1">
        <v>6</v>
      </c>
      <c r="S25" s="1" t="s">
        <v>35</v>
      </c>
      <c r="T25" s="6">
        <v>0.5</v>
      </c>
      <c r="U25" s="1">
        <v>8</v>
      </c>
      <c r="V25" s="1">
        <v>3</v>
      </c>
      <c r="W25" s="9" t="s">
        <v>25</v>
      </c>
    </row>
    <row r="26" spans="1:23" x14ac:dyDescent="0.2">
      <c r="A26" s="5" t="s">
        <v>48</v>
      </c>
      <c r="B26" s="1">
        <v>1899</v>
      </c>
      <c r="C26" s="1" t="s">
        <v>22</v>
      </c>
      <c r="D26" s="1">
        <v>22</v>
      </c>
      <c r="E26" s="5">
        <v>29.07</v>
      </c>
      <c r="F26" s="6">
        <v>29.02</v>
      </c>
      <c r="G26" s="1">
        <v>22.7</v>
      </c>
      <c r="H26" s="1">
        <v>30.7</v>
      </c>
      <c r="I26" s="1">
        <v>19.3</v>
      </c>
      <c r="J26" s="6">
        <v>48.4</v>
      </c>
      <c r="K26" s="1">
        <v>1</v>
      </c>
      <c r="L26" s="6">
        <v>2.2000000000000002</v>
      </c>
      <c r="M26" s="5">
        <v>8.7999999999999995E-2</v>
      </c>
      <c r="N26" s="6">
        <v>0.12</v>
      </c>
      <c r="O26" s="1">
        <v>73</v>
      </c>
      <c r="P26" s="6">
        <v>70</v>
      </c>
      <c r="Q26" s="1" t="s">
        <v>35</v>
      </c>
      <c r="R26" s="1">
        <v>0.5</v>
      </c>
      <c r="S26" s="1" t="s">
        <v>35</v>
      </c>
      <c r="T26" s="6">
        <v>0.5</v>
      </c>
      <c r="U26" s="1">
        <v>0</v>
      </c>
      <c r="V26" s="1">
        <v>0</v>
      </c>
      <c r="W26" s="9" t="s">
        <v>25</v>
      </c>
    </row>
    <row r="27" spans="1:23" x14ac:dyDescent="0.2">
      <c r="A27" s="5" t="s">
        <v>48</v>
      </c>
      <c r="B27" s="1">
        <v>1899</v>
      </c>
      <c r="C27" s="1" t="s">
        <v>22</v>
      </c>
      <c r="D27" s="1">
        <v>23</v>
      </c>
      <c r="E27" s="5">
        <v>28.98</v>
      </c>
      <c r="F27" s="6">
        <v>28.97</v>
      </c>
      <c r="G27" s="1">
        <v>26.9</v>
      </c>
      <c r="H27" s="1">
        <v>31.6</v>
      </c>
      <c r="I27" s="1">
        <v>23</v>
      </c>
      <c r="J27" s="6">
        <v>51.5</v>
      </c>
      <c r="K27" s="1">
        <v>0.8</v>
      </c>
      <c r="L27" s="6">
        <v>1.1000000000000001</v>
      </c>
      <c r="M27" s="5">
        <v>0.12</v>
      </c>
      <c r="N27" s="6">
        <v>0.153</v>
      </c>
      <c r="O27" s="1">
        <v>83</v>
      </c>
      <c r="P27" s="6">
        <v>85</v>
      </c>
      <c r="Q27" s="1" t="s">
        <v>35</v>
      </c>
      <c r="R27" s="1">
        <v>0.5</v>
      </c>
      <c r="S27" s="1" t="s">
        <v>35</v>
      </c>
      <c r="T27" s="6">
        <v>0.5</v>
      </c>
      <c r="U27" s="1">
        <v>1</v>
      </c>
      <c r="V27" s="1">
        <v>6</v>
      </c>
      <c r="W27" s="9" t="s">
        <v>25</v>
      </c>
    </row>
    <row r="28" spans="1:23" x14ac:dyDescent="0.2">
      <c r="A28" s="5" t="s">
        <v>48</v>
      </c>
      <c r="B28" s="1">
        <v>1899</v>
      </c>
      <c r="C28" s="1" t="s">
        <v>22</v>
      </c>
      <c r="D28" s="1">
        <v>24</v>
      </c>
      <c r="E28" s="5">
        <v>29.02</v>
      </c>
      <c r="F28" s="6">
        <v>29.09</v>
      </c>
      <c r="G28" s="1">
        <v>22.4</v>
      </c>
      <c r="H28" s="1">
        <v>30.6</v>
      </c>
      <c r="I28" s="1">
        <v>20.399999999999999</v>
      </c>
      <c r="J28" s="6">
        <v>49</v>
      </c>
      <c r="K28" s="1">
        <v>0.9</v>
      </c>
      <c r="L28" s="6">
        <v>0.6</v>
      </c>
      <c r="M28" s="5">
        <v>8.8999999999999996E-2</v>
      </c>
      <c r="N28" s="6">
        <v>0.156</v>
      </c>
      <c r="O28" s="1">
        <v>75</v>
      </c>
      <c r="P28" s="6">
        <v>91</v>
      </c>
      <c r="Q28" s="1" t="s">
        <v>35</v>
      </c>
      <c r="R28" s="1">
        <v>0.5</v>
      </c>
      <c r="S28" s="1" t="s">
        <v>35</v>
      </c>
      <c r="T28" s="6">
        <v>0.5</v>
      </c>
      <c r="U28" s="1">
        <v>0</v>
      </c>
      <c r="V28" s="1">
        <v>0</v>
      </c>
      <c r="W28" s="9" t="s">
        <v>25</v>
      </c>
    </row>
    <row r="29" spans="1:23" x14ac:dyDescent="0.2">
      <c r="A29" s="5" t="s">
        <v>48</v>
      </c>
      <c r="B29" s="1">
        <v>1899</v>
      </c>
      <c r="C29" s="1" t="s">
        <v>22</v>
      </c>
      <c r="D29" s="1">
        <v>25</v>
      </c>
      <c r="E29" s="5">
        <v>29.08</v>
      </c>
      <c r="F29" s="6">
        <v>29.12</v>
      </c>
      <c r="G29" s="1">
        <v>28</v>
      </c>
      <c r="H29" s="1">
        <v>27.6</v>
      </c>
      <c r="I29" s="1">
        <v>23</v>
      </c>
      <c r="J29" s="6">
        <v>42</v>
      </c>
      <c r="K29" s="1">
        <v>1.2</v>
      </c>
      <c r="L29" s="6">
        <v>1</v>
      </c>
      <c r="M29" s="5">
        <v>0.11700000000000001</v>
      </c>
      <c r="N29" s="6">
        <v>0.12</v>
      </c>
      <c r="O29" s="1">
        <v>76</v>
      </c>
      <c r="P29" s="6">
        <v>80</v>
      </c>
      <c r="Q29" s="1" t="s">
        <v>35</v>
      </c>
      <c r="R29" s="1">
        <v>0.5</v>
      </c>
      <c r="S29" s="1" t="s">
        <v>35</v>
      </c>
      <c r="T29" s="6">
        <v>0.5</v>
      </c>
      <c r="U29" s="1">
        <v>3</v>
      </c>
      <c r="V29" s="1">
        <v>0</v>
      </c>
      <c r="W29" s="9" t="s">
        <v>25</v>
      </c>
    </row>
    <row r="30" spans="1:23" x14ac:dyDescent="0.2">
      <c r="A30" s="5" t="s">
        <v>48</v>
      </c>
      <c r="B30" s="1">
        <v>1899</v>
      </c>
      <c r="C30" s="1" t="s">
        <v>22</v>
      </c>
      <c r="D30" s="1">
        <v>26</v>
      </c>
      <c r="E30" s="5">
        <v>29.09</v>
      </c>
      <c r="F30" s="6">
        <v>29.16</v>
      </c>
      <c r="G30" s="1">
        <v>20.6</v>
      </c>
      <c r="H30" s="1">
        <v>20.6</v>
      </c>
      <c r="I30" s="1">
        <v>18.2</v>
      </c>
      <c r="J30" s="6">
        <v>49</v>
      </c>
      <c r="K30" s="1">
        <v>1.1000000000000001</v>
      </c>
      <c r="L30" s="6">
        <v>0.9</v>
      </c>
      <c r="M30" s="5">
        <v>7.4999999999999997E-2</v>
      </c>
      <c r="N30" s="6">
        <v>8.1000000000000003E-2</v>
      </c>
      <c r="O30" s="1">
        <v>68</v>
      </c>
      <c r="P30" s="6">
        <v>74</v>
      </c>
      <c r="Q30" s="1" t="s">
        <v>38</v>
      </c>
      <c r="R30" s="1">
        <v>0.5</v>
      </c>
      <c r="S30" s="1" t="s">
        <v>38</v>
      </c>
      <c r="T30" s="6">
        <v>0.5</v>
      </c>
      <c r="U30" s="1">
        <v>0</v>
      </c>
      <c r="V30" s="1">
        <v>0</v>
      </c>
      <c r="W30" s="9" t="s">
        <v>25</v>
      </c>
    </row>
    <row r="31" spans="1:23" x14ac:dyDescent="0.2">
      <c r="A31" s="5" t="s">
        <v>48</v>
      </c>
      <c r="B31" s="1">
        <v>1899</v>
      </c>
      <c r="C31" s="1" t="s">
        <v>22</v>
      </c>
      <c r="D31" s="1">
        <v>27</v>
      </c>
      <c r="E31" s="5">
        <v>29.2</v>
      </c>
      <c r="F31" s="6">
        <v>29.19</v>
      </c>
      <c r="G31" s="1">
        <v>15.6</v>
      </c>
      <c r="H31" s="1">
        <v>31.6</v>
      </c>
      <c r="I31" s="1">
        <v>13.1</v>
      </c>
      <c r="J31" s="6">
        <v>52.8</v>
      </c>
      <c r="K31" s="1">
        <v>1.1000000000000001</v>
      </c>
      <c r="L31" s="6">
        <v>1.1000000000000001</v>
      </c>
      <c r="M31" s="5">
        <v>5.7000000000000002E-2</v>
      </c>
      <c r="N31" s="6">
        <v>0.153</v>
      </c>
      <c r="O31" s="1">
        <v>66</v>
      </c>
      <c r="P31" s="6">
        <v>85</v>
      </c>
      <c r="Q31" s="1" t="s">
        <v>38</v>
      </c>
      <c r="R31" s="1">
        <v>0.5</v>
      </c>
      <c r="S31" s="1" t="s">
        <v>38</v>
      </c>
      <c r="T31" s="6">
        <v>0.5</v>
      </c>
      <c r="U31" s="1">
        <v>0</v>
      </c>
      <c r="V31" s="1">
        <v>2</v>
      </c>
      <c r="W31" s="9" t="s">
        <v>25</v>
      </c>
    </row>
    <row r="32" spans="1:23" x14ac:dyDescent="0.2">
      <c r="A32" s="5" t="s">
        <v>48</v>
      </c>
      <c r="B32" s="1">
        <v>1899</v>
      </c>
      <c r="C32" s="1" t="s">
        <v>22</v>
      </c>
      <c r="D32" s="1">
        <v>28</v>
      </c>
      <c r="E32" s="5">
        <v>29.15</v>
      </c>
      <c r="F32" s="6">
        <v>29.15</v>
      </c>
      <c r="G32" s="1">
        <v>40.9</v>
      </c>
      <c r="H32" s="1">
        <v>46.9</v>
      </c>
      <c r="I32" s="1">
        <v>29.3</v>
      </c>
      <c r="J32" s="6">
        <v>47.3</v>
      </c>
      <c r="K32" s="1">
        <v>3.1</v>
      </c>
      <c r="L32" s="6">
        <v>2</v>
      </c>
      <c r="M32" s="5">
        <v>0.19500000000000001</v>
      </c>
      <c r="N32" s="6">
        <v>0.27400000000000002</v>
      </c>
      <c r="O32" s="1">
        <v>77</v>
      </c>
      <c r="P32" s="6">
        <v>86</v>
      </c>
      <c r="Q32" s="1" t="s">
        <v>35</v>
      </c>
      <c r="R32" s="1">
        <v>1</v>
      </c>
      <c r="S32" s="1" t="s">
        <v>35</v>
      </c>
      <c r="T32" s="6">
        <v>2</v>
      </c>
      <c r="U32" s="1">
        <v>7</v>
      </c>
      <c r="V32" s="1">
        <v>7</v>
      </c>
      <c r="W32" s="9" t="s">
        <v>25</v>
      </c>
    </row>
    <row r="33" spans="1:23" x14ac:dyDescent="0.2">
      <c r="A33" s="10"/>
      <c r="B33" s="11"/>
      <c r="C33" s="11"/>
      <c r="D33" s="12" t="s">
        <v>45</v>
      </c>
      <c r="E33" s="11">
        <v>28.577000000000002</v>
      </c>
      <c r="F33" s="12">
        <v>28.562000000000001</v>
      </c>
      <c r="G33" s="10">
        <v>31.5</v>
      </c>
      <c r="H33" s="11">
        <v>34</v>
      </c>
      <c r="I33" s="11">
        <v>27.4</v>
      </c>
      <c r="J33" s="12">
        <v>42.4</v>
      </c>
      <c r="K33" s="10">
        <v>1.2</v>
      </c>
      <c r="L33" s="12">
        <v>1.2</v>
      </c>
      <c r="M33" s="11">
        <v>0.156</v>
      </c>
      <c r="N33" s="11">
        <v>0.17499999999999999</v>
      </c>
      <c r="O33" s="10">
        <v>83.3</v>
      </c>
      <c r="P33" s="12">
        <v>86</v>
      </c>
      <c r="Q33" s="10" t="s">
        <v>25</v>
      </c>
      <c r="R33" s="11">
        <v>1.5</v>
      </c>
      <c r="S33" s="11" t="s">
        <v>25</v>
      </c>
      <c r="T33" s="12">
        <v>1.3</v>
      </c>
      <c r="U33" s="10">
        <v>5.4</v>
      </c>
      <c r="V33" s="12">
        <v>5.5</v>
      </c>
      <c r="W33" s="13">
        <v>1.96</v>
      </c>
    </row>
    <row r="34" spans="1:23" x14ac:dyDescent="0.2">
      <c r="E34">
        <f>SUM(E5:E32)/28</f>
        <v>28.542500000000008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</row>
  </sheetData>
  <mergeCells count="8">
    <mergeCell ref="U2:V2"/>
    <mergeCell ref="K3:L3"/>
    <mergeCell ref="M3:N3"/>
    <mergeCell ref="O3:P3"/>
    <mergeCell ref="E2:F2"/>
    <mergeCell ref="G2:J2"/>
    <mergeCell ref="K2:P2"/>
    <mergeCell ref="Q2:T2"/>
  </mergeCells>
  <phoneticPr fontId="2" type="noConversion"/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04B69-BD73-463D-846C-48564885D419}">
  <dimension ref="A2:W33"/>
  <sheetViews>
    <sheetView topLeftCell="B3" workbookViewId="0">
      <selection activeCell="W34" sqref="W34"/>
    </sheetView>
  </sheetViews>
  <sheetFormatPr baseColWidth="10" defaultColWidth="8.83203125" defaultRowHeight="15" x14ac:dyDescent="0.2"/>
  <cols>
    <col min="1" max="1" width="18.1640625" customWidth="1"/>
  </cols>
  <sheetData>
    <row r="2" spans="1:23" s="2" customFormat="1" ht="32" x14ac:dyDescent="0.2">
      <c r="A2" s="14"/>
      <c r="B2" s="15"/>
      <c r="C2" s="15"/>
      <c r="D2" s="15"/>
      <c r="E2" s="31" t="s">
        <v>0</v>
      </c>
      <c r="F2" s="32"/>
      <c r="G2" s="33" t="s">
        <v>1</v>
      </c>
      <c r="H2" s="33"/>
      <c r="I2" s="33"/>
      <c r="J2" s="34"/>
      <c r="K2" s="29" t="s">
        <v>2</v>
      </c>
      <c r="L2" s="33"/>
      <c r="M2" s="33"/>
      <c r="N2" s="33"/>
      <c r="O2" s="33"/>
      <c r="P2" s="34"/>
      <c r="Q2" s="33" t="s">
        <v>3</v>
      </c>
      <c r="R2" s="33"/>
      <c r="S2" s="33"/>
      <c r="T2" s="34"/>
      <c r="U2" s="29" t="s">
        <v>4</v>
      </c>
      <c r="V2" s="30"/>
      <c r="W2" s="7" t="s">
        <v>5</v>
      </c>
    </row>
    <row r="3" spans="1:23" s="2" customFormat="1" x14ac:dyDescent="0.2">
      <c r="A3" s="3"/>
      <c r="E3" s="16"/>
      <c r="F3" s="17"/>
      <c r="J3" s="4"/>
      <c r="K3" s="35" t="s">
        <v>6</v>
      </c>
      <c r="L3" s="36"/>
      <c r="M3" s="35" t="s">
        <v>7</v>
      </c>
      <c r="N3" s="36"/>
      <c r="O3" s="37" t="s">
        <v>8</v>
      </c>
      <c r="P3" s="38"/>
      <c r="T3" s="4"/>
      <c r="V3" s="1"/>
      <c r="W3" s="18"/>
    </row>
    <row r="4" spans="1:23" s="2" customFormat="1" x14ac:dyDescent="0.2">
      <c r="A4" s="3" t="s">
        <v>9</v>
      </c>
      <c r="B4" s="2" t="s">
        <v>10</v>
      </c>
      <c r="C4" s="2" t="s">
        <v>11</v>
      </c>
      <c r="D4" s="2" t="s">
        <v>12</v>
      </c>
      <c r="E4" s="3" t="s">
        <v>13</v>
      </c>
      <c r="F4" s="4" t="s">
        <v>14</v>
      </c>
      <c r="G4" s="2" t="s">
        <v>13</v>
      </c>
      <c r="H4" s="2" t="s">
        <v>14</v>
      </c>
      <c r="I4" s="2" t="s">
        <v>15</v>
      </c>
      <c r="J4" s="4" t="s">
        <v>16</v>
      </c>
      <c r="K4" s="2" t="s">
        <v>13</v>
      </c>
      <c r="L4" s="4" t="s">
        <v>14</v>
      </c>
      <c r="M4" s="3" t="s">
        <v>13</v>
      </c>
      <c r="N4" s="4" t="s">
        <v>14</v>
      </c>
      <c r="O4" s="2" t="s">
        <v>13</v>
      </c>
      <c r="P4" s="4" t="s">
        <v>14</v>
      </c>
      <c r="Q4" s="2" t="s">
        <v>17</v>
      </c>
      <c r="R4" s="2" t="s">
        <v>18</v>
      </c>
      <c r="S4" s="2" t="s">
        <v>19</v>
      </c>
      <c r="T4" s="4" t="s">
        <v>20</v>
      </c>
      <c r="U4" s="2" t="s">
        <v>13</v>
      </c>
      <c r="V4" s="2" t="s">
        <v>14</v>
      </c>
      <c r="W4" s="8" t="s">
        <v>13</v>
      </c>
    </row>
    <row r="5" spans="1:23" s="1" customFormat="1" x14ac:dyDescent="0.2">
      <c r="A5" s="5" t="s">
        <v>49</v>
      </c>
      <c r="B5" s="1">
        <v>1899</v>
      </c>
      <c r="C5" s="1" t="s">
        <v>22</v>
      </c>
      <c r="D5" s="1">
        <v>1</v>
      </c>
      <c r="E5" s="5">
        <v>29.58</v>
      </c>
      <c r="F5" s="6">
        <v>29.61</v>
      </c>
      <c r="G5" s="1">
        <v>31.7</v>
      </c>
      <c r="H5" s="1">
        <v>29.7</v>
      </c>
      <c r="I5" s="1">
        <v>28.3</v>
      </c>
      <c r="J5" s="6">
        <v>38.700000000000003</v>
      </c>
      <c r="K5" s="1">
        <v>1.2</v>
      </c>
      <c r="L5" s="6">
        <v>1.7</v>
      </c>
      <c r="M5" s="5">
        <v>0.151</v>
      </c>
      <c r="N5" s="6">
        <v>0.12</v>
      </c>
      <c r="O5" s="1">
        <v>85</v>
      </c>
      <c r="P5" s="6">
        <v>73</v>
      </c>
      <c r="Q5" s="1" t="s">
        <v>47</v>
      </c>
      <c r="R5" s="1">
        <v>1</v>
      </c>
      <c r="S5" s="1" t="s">
        <v>47</v>
      </c>
      <c r="T5" s="6">
        <v>1</v>
      </c>
      <c r="U5" s="1">
        <v>0</v>
      </c>
      <c r="V5" s="1">
        <v>0</v>
      </c>
      <c r="W5" s="9" t="s">
        <v>25</v>
      </c>
    </row>
    <row r="6" spans="1:23" s="1" customFormat="1" x14ac:dyDescent="0.2">
      <c r="A6" s="5" t="s">
        <v>49</v>
      </c>
      <c r="B6" s="1">
        <v>1899</v>
      </c>
      <c r="C6" s="1" t="s">
        <v>22</v>
      </c>
      <c r="D6" s="1">
        <v>2</v>
      </c>
      <c r="E6" s="5">
        <v>29.68</v>
      </c>
      <c r="F6" s="6">
        <v>29.76</v>
      </c>
      <c r="G6" s="1">
        <v>27.8</v>
      </c>
      <c r="H6" s="1">
        <v>28.3</v>
      </c>
      <c r="I6" s="1">
        <v>24.7</v>
      </c>
      <c r="J6" s="6">
        <v>37.200000000000003</v>
      </c>
      <c r="K6" s="1">
        <v>0.6</v>
      </c>
      <c r="L6" s="6">
        <v>0.3</v>
      </c>
      <c r="M6" s="5">
        <v>0.13300000000000001</v>
      </c>
      <c r="N6" s="6">
        <v>0.14599999999999999</v>
      </c>
      <c r="O6" s="1">
        <v>88</v>
      </c>
      <c r="P6" s="6">
        <v>95</v>
      </c>
      <c r="Q6" s="1" t="s">
        <v>47</v>
      </c>
      <c r="R6" s="1">
        <v>1</v>
      </c>
      <c r="S6" s="1" t="s">
        <v>36</v>
      </c>
      <c r="T6" s="6">
        <v>0</v>
      </c>
      <c r="U6" s="1">
        <v>0</v>
      </c>
      <c r="V6" s="1">
        <v>0</v>
      </c>
      <c r="W6" s="9" t="s">
        <v>25</v>
      </c>
    </row>
    <row r="7" spans="1:23" s="1" customFormat="1" x14ac:dyDescent="0.2">
      <c r="A7" s="5" t="s">
        <v>49</v>
      </c>
      <c r="B7" s="1">
        <v>1899</v>
      </c>
      <c r="C7" s="1" t="s">
        <v>22</v>
      </c>
      <c r="D7" s="1">
        <v>3</v>
      </c>
      <c r="E7" s="5">
        <v>29.84</v>
      </c>
      <c r="F7" s="6">
        <v>29.89</v>
      </c>
      <c r="G7" s="1">
        <v>34.200000000000003</v>
      </c>
      <c r="H7" s="1">
        <v>35.700000000000003</v>
      </c>
      <c r="I7" s="1">
        <v>27.7</v>
      </c>
      <c r="J7" s="6">
        <v>38.200000000000003</v>
      </c>
      <c r="K7" s="1">
        <v>1.2</v>
      </c>
      <c r="L7" s="6">
        <v>3.5</v>
      </c>
      <c r="M7" s="5">
        <v>0.17399999999999999</v>
      </c>
      <c r="N7" s="6">
        <v>0.14699999999999999</v>
      </c>
      <c r="O7" s="1">
        <v>87</v>
      </c>
      <c r="P7" s="6">
        <v>70</v>
      </c>
      <c r="Q7" s="1" t="s">
        <v>24</v>
      </c>
      <c r="R7" s="1">
        <v>2</v>
      </c>
      <c r="S7" s="1" t="s">
        <v>36</v>
      </c>
      <c r="T7" s="6">
        <v>0</v>
      </c>
      <c r="U7" s="1">
        <v>9</v>
      </c>
      <c r="V7" s="1">
        <v>10</v>
      </c>
      <c r="W7" s="9" t="s">
        <v>25</v>
      </c>
    </row>
    <row r="8" spans="1:23" s="1" customFormat="1" x14ac:dyDescent="0.2">
      <c r="A8" s="5" t="s">
        <v>49</v>
      </c>
      <c r="B8" s="1">
        <v>1899</v>
      </c>
      <c r="C8" s="1" t="s">
        <v>22</v>
      </c>
      <c r="D8" s="1">
        <v>4</v>
      </c>
      <c r="E8" s="5">
        <v>29.82</v>
      </c>
      <c r="F8" s="6">
        <v>29.65</v>
      </c>
      <c r="G8" s="1">
        <v>33.700000000000003</v>
      </c>
      <c r="H8" s="1">
        <v>34.9</v>
      </c>
      <c r="I8" s="1">
        <v>28.7</v>
      </c>
      <c r="J8" s="6">
        <v>37.200000000000003</v>
      </c>
      <c r="K8" s="1">
        <v>2.7</v>
      </c>
      <c r="L8" s="6">
        <v>1.9</v>
      </c>
      <c r="M8" s="5">
        <v>0.14099999999999999</v>
      </c>
      <c r="N8" s="6">
        <v>0.16500000000000001</v>
      </c>
      <c r="O8" s="1">
        <v>73</v>
      </c>
      <c r="P8" s="6">
        <v>81</v>
      </c>
      <c r="Q8" s="1" t="s">
        <v>43</v>
      </c>
      <c r="R8" s="1">
        <v>2</v>
      </c>
      <c r="S8" s="1" t="s">
        <v>31</v>
      </c>
      <c r="T8" s="6">
        <v>2</v>
      </c>
      <c r="U8" s="1">
        <v>10</v>
      </c>
      <c r="V8" s="1">
        <v>10</v>
      </c>
      <c r="W8" s="9" t="s">
        <v>25</v>
      </c>
    </row>
    <row r="9" spans="1:23" s="1" customFormat="1" x14ac:dyDescent="0.2">
      <c r="A9" s="5" t="s">
        <v>49</v>
      </c>
      <c r="B9" s="1">
        <v>1899</v>
      </c>
      <c r="C9" s="1" t="s">
        <v>22</v>
      </c>
      <c r="D9" s="1">
        <v>5</v>
      </c>
      <c r="E9" s="5">
        <v>29.62</v>
      </c>
      <c r="F9" s="6">
        <v>29.75</v>
      </c>
      <c r="G9" s="1">
        <v>36.200000000000003</v>
      </c>
      <c r="H9" s="1">
        <v>33</v>
      </c>
      <c r="I9" s="1">
        <v>31.2</v>
      </c>
      <c r="J9" s="6">
        <v>38.4</v>
      </c>
      <c r="K9" s="1">
        <v>2.2000000000000002</v>
      </c>
      <c r="L9" s="6">
        <v>1.8</v>
      </c>
      <c r="M9" s="5">
        <v>0.17299999999999999</v>
      </c>
      <c r="N9" s="6">
        <v>0.151</v>
      </c>
      <c r="O9" s="1">
        <v>81</v>
      </c>
      <c r="P9" s="6">
        <v>80</v>
      </c>
      <c r="Q9" s="1" t="s">
        <v>31</v>
      </c>
      <c r="R9" s="1">
        <v>2</v>
      </c>
      <c r="S9" s="1" t="s">
        <v>43</v>
      </c>
      <c r="T9" s="6">
        <v>5</v>
      </c>
      <c r="U9" s="1">
        <v>6</v>
      </c>
      <c r="V9" s="1">
        <v>0</v>
      </c>
      <c r="W9" s="9">
        <v>0.04</v>
      </c>
    </row>
    <row r="10" spans="1:23" s="1" customFormat="1" x14ac:dyDescent="0.2">
      <c r="A10" s="5" t="s">
        <v>49</v>
      </c>
      <c r="B10" s="1">
        <v>1899</v>
      </c>
      <c r="C10" s="1" t="s">
        <v>22</v>
      </c>
      <c r="D10" s="1">
        <v>6</v>
      </c>
      <c r="E10" s="5">
        <v>29.71</v>
      </c>
      <c r="F10" s="6">
        <v>29.55</v>
      </c>
      <c r="G10" s="1">
        <v>32.700000000000003</v>
      </c>
      <c r="H10" s="1">
        <v>39.5</v>
      </c>
      <c r="I10" s="1">
        <v>32.200000000000003</v>
      </c>
      <c r="J10" s="6">
        <v>39.5</v>
      </c>
      <c r="K10" s="1">
        <v>1</v>
      </c>
      <c r="L10" s="6">
        <v>2.2999999999999998</v>
      </c>
      <c r="M10" s="5">
        <v>0.16500000000000001</v>
      </c>
      <c r="N10" s="6">
        <v>0.19800000000000001</v>
      </c>
      <c r="O10" s="1">
        <v>89</v>
      </c>
      <c r="P10" s="6">
        <v>82</v>
      </c>
      <c r="Q10" s="1" t="s">
        <v>31</v>
      </c>
      <c r="R10" s="1">
        <v>5</v>
      </c>
      <c r="S10" s="1" t="s">
        <v>31</v>
      </c>
      <c r="T10" s="6">
        <v>4</v>
      </c>
      <c r="U10" s="1">
        <v>10</v>
      </c>
      <c r="V10" s="1">
        <v>10</v>
      </c>
      <c r="W10" s="9">
        <v>7.0000000000000007E-2</v>
      </c>
    </row>
    <row r="11" spans="1:23" s="1" customFormat="1" x14ac:dyDescent="0.2">
      <c r="A11" s="5" t="s">
        <v>49</v>
      </c>
      <c r="B11" s="1">
        <v>1899</v>
      </c>
      <c r="C11" s="1" t="s">
        <v>22</v>
      </c>
      <c r="D11" s="1">
        <v>7</v>
      </c>
      <c r="E11" s="5">
        <v>29.17</v>
      </c>
      <c r="F11" s="6">
        <v>29.14</v>
      </c>
      <c r="G11" s="1">
        <v>38.200000000000003</v>
      </c>
      <c r="H11" s="1">
        <v>43</v>
      </c>
      <c r="I11" s="1">
        <v>36</v>
      </c>
      <c r="J11" s="6">
        <v>43</v>
      </c>
      <c r="K11" s="1">
        <v>1.2</v>
      </c>
      <c r="L11" s="6">
        <v>1.3</v>
      </c>
      <c r="M11" s="5">
        <v>0.20599999999999999</v>
      </c>
      <c r="N11" s="6">
        <v>0.249</v>
      </c>
      <c r="O11" s="1">
        <v>90</v>
      </c>
      <c r="P11" s="6">
        <v>90</v>
      </c>
      <c r="Q11" s="1" t="s">
        <v>31</v>
      </c>
      <c r="R11" s="1">
        <v>4</v>
      </c>
      <c r="S11" s="1" t="s">
        <v>38</v>
      </c>
      <c r="T11" s="6">
        <v>2</v>
      </c>
      <c r="U11" s="1">
        <v>10</v>
      </c>
      <c r="V11" s="1">
        <v>10</v>
      </c>
      <c r="W11" s="9">
        <v>0.2</v>
      </c>
    </row>
    <row r="12" spans="1:23" s="1" customFormat="1" x14ac:dyDescent="0.2">
      <c r="A12" s="5" t="s">
        <v>49</v>
      </c>
      <c r="B12" s="1">
        <v>1899</v>
      </c>
      <c r="C12" s="1" t="s">
        <v>22</v>
      </c>
      <c r="D12" s="1">
        <v>8</v>
      </c>
      <c r="E12" s="5">
        <v>29.01</v>
      </c>
      <c r="F12" s="6">
        <v>28.81</v>
      </c>
      <c r="G12" s="1">
        <v>45.3</v>
      </c>
      <c r="H12" s="1">
        <v>43.2</v>
      </c>
      <c r="I12" s="1">
        <v>41.2</v>
      </c>
      <c r="J12" s="6">
        <v>47.3</v>
      </c>
      <c r="K12" s="1">
        <v>1.3</v>
      </c>
      <c r="L12" s="6">
        <v>1.2</v>
      </c>
      <c r="M12" s="5">
        <v>0.27200000000000002</v>
      </c>
      <c r="N12" s="6">
        <v>0.253</v>
      </c>
      <c r="O12" s="1">
        <v>90</v>
      </c>
      <c r="P12" s="6">
        <v>90</v>
      </c>
      <c r="Q12" s="1" t="s">
        <v>38</v>
      </c>
      <c r="R12" s="1">
        <v>4</v>
      </c>
      <c r="S12" s="1" t="s">
        <v>38</v>
      </c>
      <c r="T12" s="6">
        <v>3</v>
      </c>
      <c r="U12" s="1">
        <v>10</v>
      </c>
      <c r="V12" s="1">
        <v>10</v>
      </c>
      <c r="W12" s="9">
        <v>0.5</v>
      </c>
    </row>
    <row r="13" spans="1:23" s="1" customFormat="1" x14ac:dyDescent="0.2">
      <c r="A13" s="5" t="s">
        <v>49</v>
      </c>
      <c r="B13" s="1">
        <v>1899</v>
      </c>
      <c r="C13" s="1" t="s">
        <v>22</v>
      </c>
      <c r="D13" s="1">
        <v>9</v>
      </c>
      <c r="E13" s="5">
        <v>29</v>
      </c>
      <c r="F13" s="6">
        <v>28.83</v>
      </c>
      <c r="G13" s="1">
        <v>44.7</v>
      </c>
      <c r="H13" s="1">
        <v>43.7</v>
      </c>
      <c r="I13" s="1">
        <v>42</v>
      </c>
      <c r="J13" s="6">
        <v>47.5</v>
      </c>
      <c r="K13" s="1">
        <v>1.5</v>
      </c>
      <c r="L13" s="6">
        <v>0.7</v>
      </c>
      <c r="M13" s="5">
        <v>0.26100000000000001</v>
      </c>
      <c r="N13" s="6">
        <v>0.26900000000000002</v>
      </c>
      <c r="O13" s="1">
        <v>88</v>
      </c>
      <c r="P13" s="6">
        <v>94</v>
      </c>
      <c r="Q13" s="1" t="s">
        <v>36</v>
      </c>
      <c r="R13" s="1">
        <v>0</v>
      </c>
      <c r="S13" s="1" t="s">
        <v>39</v>
      </c>
      <c r="T13" s="6">
        <v>2</v>
      </c>
      <c r="U13" s="1">
        <v>10</v>
      </c>
      <c r="V13" s="1">
        <v>10</v>
      </c>
      <c r="W13" s="9">
        <v>0.65</v>
      </c>
    </row>
    <row r="14" spans="1:23" s="1" customFormat="1" x14ac:dyDescent="0.2">
      <c r="A14" s="5" t="s">
        <v>49</v>
      </c>
      <c r="B14" s="1">
        <v>1899</v>
      </c>
      <c r="C14" s="1" t="s">
        <v>22</v>
      </c>
      <c r="D14" s="1">
        <v>10</v>
      </c>
      <c r="E14" s="5">
        <v>29.06</v>
      </c>
      <c r="F14" s="6">
        <v>28.95</v>
      </c>
      <c r="G14" s="1">
        <v>43.2</v>
      </c>
      <c r="H14" s="1">
        <v>46.8</v>
      </c>
      <c r="I14" s="1">
        <v>41</v>
      </c>
      <c r="J14" s="6">
        <v>48.7</v>
      </c>
      <c r="K14" s="1">
        <v>1.2</v>
      </c>
      <c r="L14" s="6">
        <v>1.1000000000000001</v>
      </c>
      <c r="M14" s="5">
        <v>0.253</v>
      </c>
      <c r="N14" s="6">
        <v>0.29399999999999998</v>
      </c>
      <c r="O14" s="1">
        <v>90</v>
      </c>
      <c r="P14" s="6">
        <v>92</v>
      </c>
      <c r="Q14" s="1" t="s">
        <v>38</v>
      </c>
      <c r="R14" s="1">
        <v>2</v>
      </c>
      <c r="S14" s="1" t="s">
        <v>35</v>
      </c>
      <c r="T14" s="6">
        <v>1</v>
      </c>
      <c r="U14" s="1">
        <v>10</v>
      </c>
      <c r="V14" s="1">
        <v>10</v>
      </c>
      <c r="W14" s="9">
        <v>0.65</v>
      </c>
    </row>
    <row r="15" spans="1:23" s="1" customFormat="1" x14ac:dyDescent="0.2">
      <c r="A15" s="5" t="s">
        <v>49</v>
      </c>
      <c r="B15" s="1">
        <v>1899</v>
      </c>
      <c r="C15" s="1" t="s">
        <v>22</v>
      </c>
      <c r="D15" s="1">
        <v>11</v>
      </c>
      <c r="E15" s="5">
        <v>29.09</v>
      </c>
      <c r="F15" s="6">
        <v>28.85</v>
      </c>
      <c r="G15" s="1">
        <v>47</v>
      </c>
      <c r="H15" s="1">
        <v>48.5</v>
      </c>
      <c r="I15" s="1">
        <v>45</v>
      </c>
      <c r="J15" s="6">
        <v>49.5</v>
      </c>
      <c r="K15" s="1">
        <v>1.3</v>
      </c>
      <c r="L15" s="6">
        <v>1.5</v>
      </c>
      <c r="M15" s="5">
        <v>0.29099999999999998</v>
      </c>
      <c r="N15" s="6">
        <v>0.30399999999999999</v>
      </c>
      <c r="O15" s="1">
        <v>91</v>
      </c>
      <c r="P15" s="6">
        <v>90</v>
      </c>
      <c r="Q15" s="1" t="s">
        <v>36</v>
      </c>
      <c r="R15" s="1">
        <v>0</v>
      </c>
      <c r="S15" s="1" t="s">
        <v>32</v>
      </c>
      <c r="T15" s="6">
        <v>5</v>
      </c>
      <c r="U15" s="1">
        <v>10</v>
      </c>
      <c r="V15" s="1">
        <v>10</v>
      </c>
      <c r="W15" s="9">
        <v>0.3</v>
      </c>
    </row>
    <row r="16" spans="1:23" s="1" customFormat="1" x14ac:dyDescent="0.2">
      <c r="A16" s="5" t="s">
        <v>49</v>
      </c>
      <c r="B16" s="1">
        <v>1899</v>
      </c>
      <c r="C16" s="1" t="s">
        <v>22</v>
      </c>
      <c r="D16" s="1">
        <v>12</v>
      </c>
      <c r="E16" s="5">
        <v>28.85</v>
      </c>
      <c r="F16" s="6">
        <v>29.09</v>
      </c>
      <c r="G16" s="1">
        <v>44</v>
      </c>
      <c r="H16" s="1">
        <v>42.4</v>
      </c>
      <c r="I16" s="1">
        <v>41.7</v>
      </c>
      <c r="J16" s="6">
        <v>49.5</v>
      </c>
      <c r="K16" s="1">
        <v>1</v>
      </c>
      <c r="L16" s="6">
        <v>0.9</v>
      </c>
      <c r="M16" s="5">
        <v>0.26500000000000001</v>
      </c>
      <c r="N16" s="6">
        <v>0.252</v>
      </c>
      <c r="O16" s="1">
        <v>92</v>
      </c>
      <c r="P16" s="6">
        <v>93</v>
      </c>
      <c r="Q16" s="1" t="s">
        <v>36</v>
      </c>
      <c r="R16" s="1">
        <v>0</v>
      </c>
      <c r="S16" s="1" t="s">
        <v>35</v>
      </c>
      <c r="T16" s="6">
        <v>1</v>
      </c>
      <c r="U16" s="1">
        <v>10</v>
      </c>
      <c r="V16" s="1">
        <v>6</v>
      </c>
      <c r="W16" s="9">
        <v>0.1</v>
      </c>
    </row>
    <row r="17" spans="1:23" s="1" customFormat="1" x14ac:dyDescent="0.2">
      <c r="A17" s="5" t="s">
        <v>49</v>
      </c>
      <c r="B17" s="1">
        <v>1899</v>
      </c>
      <c r="C17" s="1" t="s">
        <v>22</v>
      </c>
      <c r="D17" s="1">
        <v>13</v>
      </c>
      <c r="E17" s="5">
        <v>28.85</v>
      </c>
      <c r="F17" s="6">
        <v>28.68</v>
      </c>
      <c r="G17" s="1">
        <v>43.7</v>
      </c>
      <c r="H17" s="1">
        <v>44.7</v>
      </c>
      <c r="I17" s="1">
        <v>37</v>
      </c>
      <c r="J17" s="6">
        <v>47.7</v>
      </c>
      <c r="K17" s="1">
        <v>2</v>
      </c>
      <c r="L17" s="6">
        <v>1.7</v>
      </c>
      <c r="M17" s="5">
        <v>0.24099999999999999</v>
      </c>
      <c r="N17" s="6">
        <v>0.25700000000000001</v>
      </c>
      <c r="O17" s="1">
        <v>84</v>
      </c>
      <c r="P17" s="6">
        <v>87</v>
      </c>
      <c r="Q17" s="1" t="s">
        <v>38</v>
      </c>
      <c r="R17" s="1">
        <v>4</v>
      </c>
      <c r="S17" s="1" t="s">
        <v>32</v>
      </c>
      <c r="T17" s="6">
        <v>4</v>
      </c>
      <c r="U17" s="1">
        <v>7</v>
      </c>
      <c r="V17" s="1">
        <v>9</v>
      </c>
      <c r="W17" s="9">
        <v>0.36</v>
      </c>
    </row>
    <row r="18" spans="1:23" s="1" customFormat="1" x14ac:dyDescent="0.2">
      <c r="A18" s="5" t="s">
        <v>49</v>
      </c>
      <c r="B18" s="1">
        <v>1899</v>
      </c>
      <c r="C18" s="1" t="s">
        <v>22</v>
      </c>
      <c r="D18" s="1">
        <v>14</v>
      </c>
      <c r="E18" s="5">
        <v>28.91</v>
      </c>
      <c r="F18" s="6">
        <v>29.22</v>
      </c>
      <c r="G18" s="1">
        <v>44.2</v>
      </c>
      <c r="H18" s="1">
        <v>44.8</v>
      </c>
      <c r="I18" s="1">
        <v>40.200000000000003</v>
      </c>
      <c r="J18" s="6">
        <v>46.2</v>
      </c>
      <c r="K18" s="1">
        <v>1.5</v>
      </c>
      <c r="L18" s="6">
        <v>2</v>
      </c>
      <c r="M18" s="5">
        <v>0.25700000000000001</v>
      </c>
      <c r="N18" s="6">
        <v>0.251</v>
      </c>
      <c r="O18" s="1">
        <v>89</v>
      </c>
      <c r="P18" s="6">
        <v>85</v>
      </c>
      <c r="Q18" s="1" t="s">
        <v>44</v>
      </c>
      <c r="R18" s="1">
        <v>4</v>
      </c>
      <c r="S18" s="1" t="s">
        <v>42</v>
      </c>
      <c r="T18" s="6">
        <v>5</v>
      </c>
      <c r="U18" s="1">
        <v>10</v>
      </c>
      <c r="V18" s="1">
        <v>5</v>
      </c>
      <c r="W18" s="9">
        <v>0.35</v>
      </c>
    </row>
    <row r="19" spans="1:23" s="1" customFormat="1" x14ac:dyDescent="0.2">
      <c r="A19" s="5" t="s">
        <v>49</v>
      </c>
      <c r="B19" s="1">
        <v>1899</v>
      </c>
      <c r="C19" s="1" t="s">
        <v>22</v>
      </c>
      <c r="D19" s="1">
        <v>15</v>
      </c>
      <c r="E19" s="5">
        <v>29.4</v>
      </c>
      <c r="F19" s="6">
        <v>29.59</v>
      </c>
      <c r="G19" s="1">
        <v>45</v>
      </c>
      <c r="H19" s="1">
        <v>41.2</v>
      </c>
      <c r="I19" s="1">
        <v>41</v>
      </c>
      <c r="J19" s="6">
        <v>47.8</v>
      </c>
      <c r="K19" s="1">
        <v>2</v>
      </c>
      <c r="L19" s="6">
        <v>1.9</v>
      </c>
      <c r="M19" s="5">
        <v>0.253</v>
      </c>
      <c r="N19" s="6">
        <v>0.219</v>
      </c>
      <c r="O19" s="1">
        <v>85</v>
      </c>
      <c r="P19" s="6">
        <v>85</v>
      </c>
      <c r="Q19" s="1" t="s">
        <v>44</v>
      </c>
      <c r="R19" s="1">
        <v>5</v>
      </c>
      <c r="S19" s="1" t="s">
        <v>44</v>
      </c>
      <c r="T19" s="6">
        <v>1</v>
      </c>
      <c r="U19" s="1">
        <v>10</v>
      </c>
      <c r="V19" s="1">
        <v>1</v>
      </c>
      <c r="W19" s="9">
        <v>0.13</v>
      </c>
    </row>
    <row r="20" spans="1:23" s="1" customFormat="1" x14ac:dyDescent="0.2">
      <c r="A20" s="5" t="s">
        <v>49</v>
      </c>
      <c r="B20" s="1">
        <v>1899</v>
      </c>
      <c r="C20" s="1" t="s">
        <v>22</v>
      </c>
      <c r="D20" s="1">
        <v>16</v>
      </c>
      <c r="E20" s="5">
        <v>29.53</v>
      </c>
      <c r="F20" s="6">
        <v>29.6</v>
      </c>
      <c r="G20" s="1">
        <v>42.7</v>
      </c>
      <c r="H20" s="1">
        <v>48</v>
      </c>
      <c r="I20" s="1">
        <v>39.9</v>
      </c>
      <c r="J20" s="6">
        <v>48.4</v>
      </c>
      <c r="K20" s="1">
        <v>2.5</v>
      </c>
      <c r="L20" s="6">
        <v>1</v>
      </c>
      <c r="M20" s="5">
        <v>0.222</v>
      </c>
      <c r="N20" s="6">
        <v>0.309</v>
      </c>
      <c r="O20" s="1">
        <v>81</v>
      </c>
      <c r="P20" s="6">
        <v>93</v>
      </c>
      <c r="Q20" s="1" t="s">
        <v>38</v>
      </c>
      <c r="R20" s="1">
        <v>7</v>
      </c>
      <c r="S20" s="1" t="s">
        <v>38</v>
      </c>
      <c r="T20" s="6">
        <v>5</v>
      </c>
      <c r="U20" s="1">
        <v>10</v>
      </c>
      <c r="V20" s="1">
        <v>10</v>
      </c>
      <c r="W20" s="9">
        <v>0.5</v>
      </c>
    </row>
    <row r="21" spans="1:23" s="1" customFormat="1" x14ac:dyDescent="0.2">
      <c r="A21" s="5" t="s">
        <v>49</v>
      </c>
      <c r="B21" s="1">
        <v>1899</v>
      </c>
      <c r="C21" s="1" t="s">
        <v>22</v>
      </c>
      <c r="D21" s="1">
        <v>17</v>
      </c>
      <c r="E21" s="5">
        <v>29.71</v>
      </c>
      <c r="F21" s="6">
        <v>29.93</v>
      </c>
      <c r="G21" s="1">
        <v>47.2</v>
      </c>
      <c r="H21" s="1">
        <v>44</v>
      </c>
      <c r="I21" s="1">
        <v>43.2</v>
      </c>
      <c r="J21" s="6">
        <v>48.2</v>
      </c>
      <c r="K21" s="1">
        <v>1.2</v>
      </c>
      <c r="L21" s="6">
        <v>1</v>
      </c>
      <c r="M21" s="5">
        <v>0.29499999999999998</v>
      </c>
      <c r="N21" s="6">
        <v>0.26500000000000001</v>
      </c>
      <c r="O21" s="1">
        <v>92</v>
      </c>
      <c r="P21" s="6">
        <v>92</v>
      </c>
      <c r="Q21" s="1" t="s">
        <v>38</v>
      </c>
      <c r="R21" s="1">
        <v>5</v>
      </c>
      <c r="S21" s="1" t="s">
        <v>35</v>
      </c>
      <c r="T21" s="6">
        <v>1</v>
      </c>
      <c r="U21" s="1">
        <v>10</v>
      </c>
      <c r="V21" s="1">
        <v>10</v>
      </c>
      <c r="W21" s="9">
        <v>0.35</v>
      </c>
    </row>
    <row r="22" spans="1:23" s="1" customFormat="1" x14ac:dyDescent="0.2">
      <c r="A22" s="5" t="s">
        <v>49</v>
      </c>
      <c r="B22" s="1">
        <v>1899</v>
      </c>
      <c r="C22" s="1" t="s">
        <v>22</v>
      </c>
      <c r="D22" s="1">
        <v>18</v>
      </c>
      <c r="E22" s="5">
        <v>29.99</v>
      </c>
      <c r="F22" s="6">
        <v>30.03</v>
      </c>
      <c r="G22" s="1">
        <v>42.3</v>
      </c>
      <c r="H22" s="1">
        <v>38.299999999999997</v>
      </c>
      <c r="I22" s="1">
        <v>38</v>
      </c>
      <c r="J22" s="6">
        <v>44</v>
      </c>
      <c r="K22" s="1">
        <v>0.7</v>
      </c>
      <c r="L22" s="6">
        <v>1.3</v>
      </c>
      <c r="M22" s="5">
        <v>0.255</v>
      </c>
      <c r="N22" s="6">
        <v>0.20499999999999999</v>
      </c>
      <c r="O22" s="1">
        <v>95</v>
      </c>
      <c r="P22" s="6">
        <v>89</v>
      </c>
      <c r="Q22" s="1" t="s">
        <v>43</v>
      </c>
      <c r="R22" s="1">
        <v>1</v>
      </c>
      <c r="S22" s="1" t="s">
        <v>36</v>
      </c>
      <c r="T22" s="6">
        <v>0</v>
      </c>
      <c r="U22" s="1">
        <v>10</v>
      </c>
      <c r="V22" s="1">
        <v>1</v>
      </c>
      <c r="W22" s="9" t="s">
        <v>25</v>
      </c>
    </row>
    <row r="23" spans="1:23" s="1" customFormat="1" x14ac:dyDescent="0.2">
      <c r="A23" s="5" t="s">
        <v>49</v>
      </c>
      <c r="B23" s="1">
        <v>1899</v>
      </c>
      <c r="C23" s="1" t="s">
        <v>22</v>
      </c>
      <c r="D23" s="1">
        <v>19</v>
      </c>
      <c r="E23" s="5">
        <v>30.15</v>
      </c>
      <c r="F23" s="6">
        <v>30.26</v>
      </c>
      <c r="G23" s="1">
        <v>31.3</v>
      </c>
      <c r="H23" s="1">
        <v>34</v>
      </c>
      <c r="I23" s="1">
        <v>29</v>
      </c>
      <c r="J23" s="6">
        <v>43.1</v>
      </c>
      <c r="K23" s="1">
        <v>0.3</v>
      </c>
      <c r="L23" s="6">
        <v>0.7</v>
      </c>
      <c r="M23" s="5">
        <v>0.16900000000000001</v>
      </c>
      <c r="N23" s="6">
        <v>0.182</v>
      </c>
      <c r="O23" s="1">
        <v>96</v>
      </c>
      <c r="P23" s="6">
        <v>92</v>
      </c>
      <c r="Q23" s="1" t="s">
        <v>36</v>
      </c>
      <c r="R23" s="1">
        <v>0</v>
      </c>
      <c r="S23" s="1" t="s">
        <v>36</v>
      </c>
      <c r="T23" s="6">
        <v>0</v>
      </c>
      <c r="U23" s="1">
        <v>0</v>
      </c>
      <c r="V23" s="1">
        <v>0</v>
      </c>
      <c r="W23" s="9" t="s">
        <v>25</v>
      </c>
    </row>
    <row r="24" spans="1:23" s="1" customFormat="1" x14ac:dyDescent="0.2">
      <c r="A24" s="5" t="s">
        <v>49</v>
      </c>
      <c r="B24" s="1">
        <v>1899</v>
      </c>
      <c r="C24" s="1" t="s">
        <v>22</v>
      </c>
      <c r="D24" s="1">
        <v>20</v>
      </c>
      <c r="E24" s="5">
        <v>30.32</v>
      </c>
      <c r="F24" s="6">
        <v>30.28</v>
      </c>
      <c r="G24" s="1">
        <v>32.200000000000003</v>
      </c>
      <c r="H24" s="1">
        <v>40.9</v>
      </c>
      <c r="I24" s="1">
        <v>30.8</v>
      </c>
      <c r="J24" s="6">
        <v>46</v>
      </c>
      <c r="K24" s="1">
        <v>1</v>
      </c>
      <c r="L24" s="6">
        <v>2.9</v>
      </c>
      <c r="M24" s="5">
        <v>0.16</v>
      </c>
      <c r="N24" s="6">
        <v>0.19800000000000001</v>
      </c>
      <c r="O24" s="1">
        <v>88</v>
      </c>
      <c r="P24" s="6">
        <v>78</v>
      </c>
      <c r="Q24" s="1" t="s">
        <v>36</v>
      </c>
      <c r="R24" s="1">
        <v>0</v>
      </c>
      <c r="S24" s="1" t="s">
        <v>38</v>
      </c>
      <c r="T24" s="6">
        <v>4</v>
      </c>
      <c r="U24" s="1">
        <v>0</v>
      </c>
      <c r="V24" s="1">
        <v>10</v>
      </c>
      <c r="W24" s="9" t="s">
        <v>25</v>
      </c>
    </row>
    <row r="25" spans="1:23" s="1" customFormat="1" x14ac:dyDescent="0.2">
      <c r="A25" s="5" t="s">
        <v>49</v>
      </c>
      <c r="B25" s="1">
        <v>1899</v>
      </c>
      <c r="C25" s="1" t="s">
        <v>22</v>
      </c>
      <c r="D25" s="1">
        <v>21</v>
      </c>
      <c r="E25" s="5">
        <v>30.26</v>
      </c>
      <c r="F25" s="6">
        <v>30.24</v>
      </c>
      <c r="G25" s="1">
        <v>44.2</v>
      </c>
      <c r="H25" s="1">
        <v>44.2</v>
      </c>
      <c r="I25" s="1">
        <v>40.01</v>
      </c>
      <c r="J25" s="6">
        <v>49.8</v>
      </c>
      <c r="K25" s="1">
        <v>4.0999999999999996</v>
      </c>
      <c r="L25" s="6">
        <v>2.8</v>
      </c>
      <c r="M25" s="5">
        <v>0.20499999999999999</v>
      </c>
      <c r="N25" s="6">
        <v>0.23</v>
      </c>
      <c r="O25" s="1">
        <v>71</v>
      </c>
      <c r="P25" s="6">
        <v>79</v>
      </c>
      <c r="Q25" s="1" t="s">
        <v>38</v>
      </c>
      <c r="R25" s="1">
        <v>6</v>
      </c>
      <c r="S25" s="1" t="s">
        <v>38</v>
      </c>
      <c r="T25" s="6">
        <v>3</v>
      </c>
      <c r="U25" s="1">
        <v>10</v>
      </c>
      <c r="V25" s="1">
        <v>2</v>
      </c>
      <c r="W25" s="9" t="s">
        <v>25</v>
      </c>
    </row>
    <row r="26" spans="1:23" s="1" customFormat="1" x14ac:dyDescent="0.2">
      <c r="A26" s="5" t="s">
        <v>49</v>
      </c>
      <c r="B26" s="1">
        <v>1899</v>
      </c>
      <c r="C26" s="1" t="s">
        <v>22</v>
      </c>
      <c r="D26" s="1">
        <v>22</v>
      </c>
      <c r="E26" s="5">
        <v>30.25</v>
      </c>
      <c r="F26" s="6">
        <v>30.2</v>
      </c>
      <c r="G26" s="1">
        <v>40.799999999999997</v>
      </c>
      <c r="H26" s="1">
        <v>44</v>
      </c>
      <c r="I26" s="1">
        <v>39</v>
      </c>
      <c r="J26" s="6">
        <v>47.8</v>
      </c>
      <c r="K26" s="1">
        <v>4.5</v>
      </c>
      <c r="L26" s="6">
        <v>4.5</v>
      </c>
      <c r="M26" s="5">
        <v>0.17100000000000001</v>
      </c>
      <c r="N26" s="6">
        <v>0.19700000000000001</v>
      </c>
      <c r="O26" s="1">
        <v>67</v>
      </c>
      <c r="P26" s="6">
        <v>68</v>
      </c>
      <c r="Q26" s="1" t="s">
        <v>32</v>
      </c>
      <c r="R26" s="1">
        <v>3</v>
      </c>
      <c r="S26" s="1" t="s">
        <v>31</v>
      </c>
      <c r="T26" s="6">
        <v>3</v>
      </c>
      <c r="U26" s="1">
        <v>0</v>
      </c>
      <c r="V26" s="1">
        <v>0</v>
      </c>
      <c r="W26" s="9" t="s">
        <v>25</v>
      </c>
    </row>
    <row r="27" spans="1:23" s="1" customFormat="1" x14ac:dyDescent="0.2">
      <c r="A27" s="5" t="s">
        <v>49</v>
      </c>
      <c r="B27" s="1">
        <v>1899</v>
      </c>
      <c r="C27" s="1" t="s">
        <v>22</v>
      </c>
      <c r="D27" s="1">
        <v>23</v>
      </c>
      <c r="E27" s="5">
        <v>30.15</v>
      </c>
      <c r="F27" s="6">
        <v>30.14</v>
      </c>
      <c r="G27" s="1">
        <v>42.1</v>
      </c>
      <c r="H27" s="1">
        <v>43.3</v>
      </c>
      <c r="I27" s="1">
        <v>41</v>
      </c>
      <c r="J27" s="6">
        <v>49.5</v>
      </c>
      <c r="K27" s="1">
        <v>3.7</v>
      </c>
      <c r="L27" s="6">
        <v>3.1</v>
      </c>
      <c r="M27" s="5">
        <v>0.19600000000000001</v>
      </c>
      <c r="N27" s="6">
        <v>0.216</v>
      </c>
      <c r="O27" s="1">
        <v>73</v>
      </c>
      <c r="P27" s="6">
        <v>77</v>
      </c>
      <c r="Q27" s="1" t="s">
        <v>33</v>
      </c>
      <c r="R27" s="1">
        <v>1</v>
      </c>
      <c r="S27" s="1" t="s">
        <v>33</v>
      </c>
      <c r="T27" s="6">
        <v>1</v>
      </c>
      <c r="U27" s="1">
        <v>0</v>
      </c>
      <c r="V27" s="1">
        <v>1</v>
      </c>
      <c r="W27" s="9" t="s">
        <v>25</v>
      </c>
    </row>
    <row r="28" spans="1:23" s="1" customFormat="1" x14ac:dyDescent="0.2">
      <c r="A28" s="5" t="s">
        <v>49</v>
      </c>
      <c r="B28" s="1">
        <v>1899</v>
      </c>
      <c r="C28" s="1" t="s">
        <v>22</v>
      </c>
      <c r="D28" s="1">
        <v>24</v>
      </c>
      <c r="E28" s="5">
        <v>30.2</v>
      </c>
      <c r="F28" s="6">
        <v>30.2</v>
      </c>
      <c r="G28" s="1">
        <v>42.8</v>
      </c>
      <c r="H28" s="1">
        <v>41.3</v>
      </c>
      <c r="I28" s="1">
        <v>37</v>
      </c>
      <c r="J28" s="6">
        <v>47.7</v>
      </c>
      <c r="K28" s="1">
        <v>2</v>
      </c>
      <c r="L28" s="6">
        <v>3.3</v>
      </c>
      <c r="M28" s="5">
        <v>0.23200000000000001</v>
      </c>
      <c r="N28" s="6">
        <v>0.19500000000000001</v>
      </c>
      <c r="O28" s="1">
        <v>85</v>
      </c>
      <c r="P28" s="6">
        <v>76</v>
      </c>
      <c r="Q28" s="1" t="s">
        <v>38</v>
      </c>
      <c r="R28" s="1">
        <v>2</v>
      </c>
      <c r="S28" s="1" t="s">
        <v>31</v>
      </c>
      <c r="T28" s="6">
        <v>2</v>
      </c>
      <c r="U28" s="1">
        <v>1</v>
      </c>
      <c r="V28" s="1">
        <v>6</v>
      </c>
      <c r="W28" s="9" t="s">
        <v>25</v>
      </c>
    </row>
    <row r="29" spans="1:23" s="1" customFormat="1" x14ac:dyDescent="0.2">
      <c r="A29" s="5" t="s">
        <v>49</v>
      </c>
      <c r="B29" s="1">
        <v>1899</v>
      </c>
      <c r="C29" s="1" t="s">
        <v>22</v>
      </c>
      <c r="D29" s="1">
        <v>25</v>
      </c>
      <c r="E29" s="5">
        <v>30.22</v>
      </c>
      <c r="F29" s="6">
        <v>30.27</v>
      </c>
      <c r="G29" s="1">
        <v>45</v>
      </c>
      <c r="H29" s="1">
        <v>43.7</v>
      </c>
      <c r="I29" s="1">
        <v>38.700000000000003</v>
      </c>
      <c r="J29" s="6">
        <v>48.8</v>
      </c>
      <c r="K29" s="1">
        <v>3</v>
      </c>
      <c r="L29" s="6">
        <v>3.7</v>
      </c>
      <c r="M29" s="5">
        <v>0.23300000000000001</v>
      </c>
      <c r="N29" s="6">
        <v>0.20799999999999999</v>
      </c>
      <c r="O29" s="1">
        <v>78</v>
      </c>
      <c r="P29" s="6">
        <v>73</v>
      </c>
      <c r="Q29" s="1" t="s">
        <v>31</v>
      </c>
      <c r="R29" s="1">
        <v>2</v>
      </c>
      <c r="S29" s="1" t="s">
        <v>33</v>
      </c>
      <c r="T29" s="6">
        <v>5</v>
      </c>
      <c r="U29" s="1">
        <v>0</v>
      </c>
      <c r="V29" s="1">
        <v>0</v>
      </c>
      <c r="W29" s="9" t="s">
        <v>25</v>
      </c>
    </row>
    <row r="30" spans="1:23" s="1" customFormat="1" x14ac:dyDescent="0.2">
      <c r="A30" s="5" t="s">
        <v>49</v>
      </c>
      <c r="B30" s="1">
        <v>1899</v>
      </c>
      <c r="C30" s="1" t="s">
        <v>22</v>
      </c>
      <c r="D30" s="1">
        <v>26</v>
      </c>
      <c r="E30" s="5">
        <v>30.28</v>
      </c>
      <c r="F30" s="6">
        <v>30.31</v>
      </c>
      <c r="G30" s="1">
        <v>37</v>
      </c>
      <c r="H30" s="1">
        <v>42.2</v>
      </c>
      <c r="I30" s="1">
        <v>32.5</v>
      </c>
      <c r="J30" s="6">
        <v>46.3</v>
      </c>
      <c r="K30" s="1">
        <v>2</v>
      </c>
      <c r="L30" s="6">
        <v>2.2000000000000002</v>
      </c>
      <c r="M30" s="5">
        <v>0.182</v>
      </c>
      <c r="N30" s="6">
        <v>0.223</v>
      </c>
      <c r="O30" s="1">
        <v>83</v>
      </c>
      <c r="P30" s="6">
        <v>84</v>
      </c>
      <c r="Q30" s="1" t="s">
        <v>43</v>
      </c>
      <c r="R30" s="1">
        <v>3</v>
      </c>
      <c r="S30" s="1" t="s">
        <v>31</v>
      </c>
      <c r="T30" s="6">
        <v>2</v>
      </c>
      <c r="U30" s="1">
        <v>1</v>
      </c>
      <c r="V30" s="1">
        <v>0</v>
      </c>
      <c r="W30" s="9" t="s">
        <v>25</v>
      </c>
    </row>
    <row r="31" spans="1:23" s="1" customFormat="1" x14ac:dyDescent="0.2">
      <c r="A31" s="5" t="s">
        <v>49</v>
      </c>
      <c r="B31" s="1">
        <v>1899</v>
      </c>
      <c r="C31" s="1" t="s">
        <v>22</v>
      </c>
      <c r="D31" s="1">
        <v>27</v>
      </c>
      <c r="E31" s="5">
        <v>30.37</v>
      </c>
      <c r="F31" s="6">
        <v>30.41</v>
      </c>
      <c r="G31" s="1">
        <v>37.299999999999997</v>
      </c>
      <c r="H31" s="1">
        <v>42</v>
      </c>
      <c r="I31" s="1">
        <v>32.200000000000003</v>
      </c>
      <c r="J31" s="6">
        <v>45.3</v>
      </c>
      <c r="K31" s="1">
        <v>1.9</v>
      </c>
      <c r="L31" s="6">
        <v>2</v>
      </c>
      <c r="M31" s="5">
        <v>0.186</v>
      </c>
      <c r="N31" s="6">
        <v>0.22500000000000001</v>
      </c>
      <c r="O31" s="1">
        <v>84</v>
      </c>
      <c r="P31" s="6">
        <v>85</v>
      </c>
      <c r="Q31" s="1" t="s">
        <v>33</v>
      </c>
      <c r="R31" s="1">
        <v>4</v>
      </c>
      <c r="S31" s="1" t="s">
        <v>32</v>
      </c>
      <c r="T31" s="6">
        <v>3</v>
      </c>
      <c r="U31" s="1">
        <v>0</v>
      </c>
      <c r="V31" s="1">
        <v>3</v>
      </c>
      <c r="W31" s="9" t="s">
        <v>25</v>
      </c>
    </row>
    <row r="32" spans="1:23" s="1" customFormat="1" x14ac:dyDescent="0.2">
      <c r="A32" s="5" t="s">
        <v>49</v>
      </c>
      <c r="B32" s="1">
        <v>1899</v>
      </c>
      <c r="C32" s="1" t="s">
        <v>22</v>
      </c>
      <c r="D32" s="1">
        <v>28</v>
      </c>
      <c r="E32" s="5">
        <v>30.45</v>
      </c>
      <c r="F32" s="6">
        <v>30.4</v>
      </c>
      <c r="G32" s="1">
        <v>43.7</v>
      </c>
      <c r="H32" s="1">
        <v>50.2</v>
      </c>
      <c r="I32" s="1">
        <v>39</v>
      </c>
      <c r="J32" s="6">
        <v>51.6</v>
      </c>
      <c r="K32" s="1">
        <v>1.7</v>
      </c>
      <c r="L32" s="6">
        <v>0.5</v>
      </c>
      <c r="M32" s="5">
        <v>0.247</v>
      </c>
      <c r="N32" s="6">
        <v>0.35099999999999998</v>
      </c>
      <c r="O32" s="1">
        <v>86</v>
      </c>
      <c r="P32" s="6">
        <v>97</v>
      </c>
      <c r="Q32" s="1" t="s">
        <v>38</v>
      </c>
      <c r="R32" s="1">
        <v>2</v>
      </c>
      <c r="S32" s="1" t="s">
        <v>35</v>
      </c>
      <c r="T32" s="6">
        <v>5</v>
      </c>
      <c r="U32" s="1">
        <v>10</v>
      </c>
      <c r="V32" s="1">
        <v>10</v>
      </c>
      <c r="W32" s="9">
        <v>0.13</v>
      </c>
    </row>
    <row r="33" spans="1:23" s="1" customFormat="1" x14ac:dyDescent="0.2">
      <c r="A33" s="10"/>
      <c r="B33" s="11"/>
      <c r="C33" s="11"/>
      <c r="D33" s="12" t="s">
        <v>45</v>
      </c>
      <c r="E33" s="11">
        <v>29.695</v>
      </c>
      <c r="F33" s="12">
        <v>29.7</v>
      </c>
      <c r="G33" s="10">
        <v>40</v>
      </c>
      <c r="H33" s="11">
        <v>41.3</v>
      </c>
      <c r="I33" s="11">
        <v>36.4</v>
      </c>
      <c r="J33" s="12">
        <v>45.5</v>
      </c>
      <c r="K33" s="10">
        <v>1.8</v>
      </c>
      <c r="L33" s="12">
        <v>1.9</v>
      </c>
      <c r="M33" s="11">
        <v>0.214</v>
      </c>
      <c r="N33" s="11">
        <v>0.224</v>
      </c>
      <c r="O33" s="10">
        <v>85</v>
      </c>
      <c r="P33" s="12">
        <v>84.6</v>
      </c>
      <c r="Q33" s="10" t="s">
        <v>25</v>
      </c>
      <c r="R33" s="11">
        <v>2.6</v>
      </c>
      <c r="S33" s="11" t="s">
        <v>25</v>
      </c>
      <c r="T33" s="12">
        <v>2.5</v>
      </c>
      <c r="U33" s="10">
        <v>6.2</v>
      </c>
      <c r="V33" s="12">
        <v>5.5</v>
      </c>
      <c r="W33" s="13">
        <v>4.33</v>
      </c>
    </row>
  </sheetData>
  <mergeCells count="8">
    <mergeCell ref="E2:F2"/>
    <mergeCell ref="G2:J2"/>
    <mergeCell ref="K2:P2"/>
    <mergeCell ref="Q2:T2"/>
    <mergeCell ref="U2:V2"/>
    <mergeCell ref="K3:L3"/>
    <mergeCell ref="M3:N3"/>
    <mergeCell ref="O3:P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20C5D-44A6-4787-84A6-B2499FADF3C6}">
  <dimension ref="A2:W34"/>
  <sheetViews>
    <sheetView topLeftCell="N19" workbookViewId="0">
      <selection activeCell="P34" sqref="P34"/>
    </sheetView>
  </sheetViews>
  <sheetFormatPr baseColWidth="10" defaultColWidth="8.83203125" defaultRowHeight="15" x14ac:dyDescent="0.2"/>
  <cols>
    <col min="1" max="1" width="14" customWidth="1"/>
  </cols>
  <sheetData>
    <row r="2" spans="1:23" s="2" customFormat="1" ht="32" x14ac:dyDescent="0.2">
      <c r="A2" s="14"/>
      <c r="B2" s="15"/>
      <c r="C2" s="15"/>
      <c r="D2" s="15"/>
      <c r="E2" s="31" t="s">
        <v>0</v>
      </c>
      <c r="F2" s="32"/>
      <c r="G2" s="33" t="s">
        <v>1</v>
      </c>
      <c r="H2" s="33"/>
      <c r="I2" s="33"/>
      <c r="J2" s="34"/>
      <c r="K2" s="29" t="s">
        <v>2</v>
      </c>
      <c r="L2" s="33"/>
      <c r="M2" s="33"/>
      <c r="N2" s="33"/>
      <c r="O2" s="33"/>
      <c r="P2" s="34"/>
      <c r="Q2" s="33" t="s">
        <v>3</v>
      </c>
      <c r="R2" s="33"/>
      <c r="S2" s="33"/>
      <c r="T2" s="34"/>
      <c r="U2" s="29" t="s">
        <v>4</v>
      </c>
      <c r="V2" s="30"/>
      <c r="W2" s="7" t="s">
        <v>5</v>
      </c>
    </row>
    <row r="3" spans="1:23" s="2" customFormat="1" x14ac:dyDescent="0.2">
      <c r="A3" s="3"/>
      <c r="E3" s="16"/>
      <c r="F3" s="17"/>
      <c r="J3" s="4"/>
      <c r="K3" s="35" t="s">
        <v>6</v>
      </c>
      <c r="L3" s="36"/>
      <c r="M3" s="35" t="s">
        <v>7</v>
      </c>
      <c r="N3" s="36"/>
      <c r="O3" s="37" t="s">
        <v>8</v>
      </c>
      <c r="P3" s="38"/>
      <c r="T3" s="4"/>
      <c r="V3" s="1"/>
      <c r="W3" s="18"/>
    </row>
    <row r="4" spans="1:23" s="2" customFormat="1" x14ac:dyDescent="0.2">
      <c r="A4" s="3" t="s">
        <v>9</v>
      </c>
      <c r="B4" s="2" t="s">
        <v>10</v>
      </c>
      <c r="C4" s="2" t="s">
        <v>11</v>
      </c>
      <c r="D4" s="2" t="s">
        <v>12</v>
      </c>
      <c r="E4" s="3" t="s">
        <v>13</v>
      </c>
      <c r="F4" s="4" t="s">
        <v>14</v>
      </c>
      <c r="G4" s="2" t="s">
        <v>13</v>
      </c>
      <c r="H4" s="2" t="s">
        <v>14</v>
      </c>
      <c r="I4" s="2" t="s">
        <v>15</v>
      </c>
      <c r="J4" s="4" t="s">
        <v>16</v>
      </c>
      <c r="K4" s="2" t="s">
        <v>13</v>
      </c>
      <c r="L4" s="4" t="s">
        <v>14</v>
      </c>
      <c r="M4" s="3" t="s">
        <v>13</v>
      </c>
      <c r="N4" s="4" t="s">
        <v>14</v>
      </c>
      <c r="O4" s="2" t="s">
        <v>13</v>
      </c>
      <c r="P4" s="4" t="s">
        <v>14</v>
      </c>
      <c r="Q4" s="2" t="s">
        <v>17</v>
      </c>
      <c r="R4" s="2" t="s">
        <v>18</v>
      </c>
      <c r="S4" s="2" t="s">
        <v>19</v>
      </c>
      <c r="T4" s="4" t="s">
        <v>20</v>
      </c>
      <c r="U4" s="2" t="s">
        <v>13</v>
      </c>
      <c r="V4" s="2" t="s">
        <v>14</v>
      </c>
      <c r="W4" s="8" t="s">
        <v>13</v>
      </c>
    </row>
    <row r="5" spans="1:23" s="1" customFormat="1" x14ac:dyDescent="0.2">
      <c r="A5" s="5" t="s">
        <v>50</v>
      </c>
      <c r="B5" s="1">
        <v>1899</v>
      </c>
      <c r="C5" s="1" t="s">
        <v>22</v>
      </c>
      <c r="D5" s="1">
        <v>1</v>
      </c>
      <c r="E5" s="5">
        <v>29.36</v>
      </c>
      <c r="F5" s="6">
        <v>29.39</v>
      </c>
      <c r="G5" s="1">
        <v>34.799999999999997</v>
      </c>
      <c r="H5" s="1">
        <v>33.700000000000003</v>
      </c>
      <c r="I5" s="1">
        <v>30.7</v>
      </c>
      <c r="J5" s="6">
        <v>38.9</v>
      </c>
      <c r="K5" s="1">
        <v>2.2999999999999998</v>
      </c>
      <c r="L5" s="6">
        <v>2.1</v>
      </c>
      <c r="M5" s="5">
        <v>0.15870000000000001</v>
      </c>
      <c r="N5" s="6">
        <v>0.151</v>
      </c>
      <c r="O5" s="1">
        <v>78</v>
      </c>
      <c r="P5" s="6">
        <v>78</v>
      </c>
      <c r="Q5" s="1" t="s">
        <v>24</v>
      </c>
      <c r="R5" s="1">
        <v>2</v>
      </c>
      <c r="S5" s="1" t="s">
        <v>24</v>
      </c>
      <c r="T5" s="6">
        <v>2</v>
      </c>
      <c r="U5" s="1">
        <v>0</v>
      </c>
      <c r="V5" s="1">
        <v>7</v>
      </c>
      <c r="W5" s="9" t="s">
        <v>25</v>
      </c>
    </row>
    <row r="6" spans="1:23" s="1" customFormat="1" x14ac:dyDescent="0.2">
      <c r="A6" s="5" t="s">
        <v>50</v>
      </c>
      <c r="B6" s="1">
        <v>1899</v>
      </c>
      <c r="C6" s="1" t="s">
        <v>22</v>
      </c>
      <c r="D6" s="1">
        <v>2</v>
      </c>
      <c r="E6" s="5">
        <v>29.48</v>
      </c>
      <c r="F6" s="6">
        <v>29.57</v>
      </c>
      <c r="G6" s="1">
        <v>32.700000000000003</v>
      </c>
      <c r="H6" s="1">
        <v>34.6</v>
      </c>
      <c r="I6" s="1">
        <v>29</v>
      </c>
      <c r="J6" s="6">
        <v>37.9</v>
      </c>
      <c r="K6" s="1">
        <v>2.2000000000000002</v>
      </c>
      <c r="L6" s="6">
        <v>1.9</v>
      </c>
      <c r="M6" s="5">
        <v>0.14099999999999999</v>
      </c>
      <c r="N6" s="6">
        <v>0.16300000000000001</v>
      </c>
      <c r="O6" s="1">
        <v>74</v>
      </c>
      <c r="P6" s="6">
        <v>81</v>
      </c>
      <c r="Q6" s="1" t="s">
        <v>29</v>
      </c>
      <c r="R6" s="1">
        <v>1</v>
      </c>
      <c r="S6" s="1" t="s">
        <v>29</v>
      </c>
      <c r="T6" s="6">
        <v>2</v>
      </c>
      <c r="U6" s="1">
        <v>7</v>
      </c>
      <c r="V6" s="1">
        <v>7</v>
      </c>
      <c r="W6" s="9" t="s">
        <v>25</v>
      </c>
    </row>
    <row r="7" spans="1:23" s="1" customFormat="1" x14ac:dyDescent="0.2">
      <c r="A7" s="5" t="s">
        <v>50</v>
      </c>
      <c r="B7" s="1">
        <v>1899</v>
      </c>
      <c r="C7" s="1" t="s">
        <v>22</v>
      </c>
      <c r="D7" s="1">
        <v>3</v>
      </c>
      <c r="E7" s="5">
        <v>29.67</v>
      </c>
      <c r="F7" s="6">
        <v>29.74</v>
      </c>
      <c r="G7" s="1">
        <v>34.4</v>
      </c>
      <c r="H7" s="1">
        <v>34.799999999999997</v>
      </c>
      <c r="I7" s="1">
        <v>32.799999999999997</v>
      </c>
      <c r="J7" s="6">
        <v>38.700000000000003</v>
      </c>
      <c r="K7" s="1">
        <v>1.6</v>
      </c>
      <c r="L7" s="6">
        <v>2.2999999999999998</v>
      </c>
      <c r="M7" s="5">
        <v>0.16700000000000001</v>
      </c>
      <c r="N7" s="6">
        <v>0.158</v>
      </c>
      <c r="O7" s="1">
        <v>84</v>
      </c>
      <c r="P7" s="6">
        <v>78</v>
      </c>
      <c r="Q7" s="1" t="s">
        <v>29</v>
      </c>
      <c r="R7" s="1">
        <v>1</v>
      </c>
      <c r="S7" s="1" t="s">
        <v>29</v>
      </c>
      <c r="T7" s="6">
        <v>1</v>
      </c>
      <c r="U7" s="1">
        <v>10</v>
      </c>
      <c r="V7" s="1">
        <v>10</v>
      </c>
      <c r="W7" s="9" t="s">
        <v>25</v>
      </c>
    </row>
    <row r="8" spans="1:23" s="1" customFormat="1" x14ac:dyDescent="0.2">
      <c r="A8" s="5" t="s">
        <v>50</v>
      </c>
      <c r="B8" s="1">
        <v>1899</v>
      </c>
      <c r="C8" s="1" t="s">
        <v>22</v>
      </c>
      <c r="D8" s="1">
        <v>4</v>
      </c>
      <c r="E8" s="5">
        <v>29.72</v>
      </c>
      <c r="F8" s="6">
        <v>29.53</v>
      </c>
      <c r="G8" s="1">
        <v>25.1</v>
      </c>
      <c r="H8" s="1">
        <v>28.8</v>
      </c>
      <c r="I8" s="1">
        <v>23.5</v>
      </c>
      <c r="J8" s="6">
        <v>35.1</v>
      </c>
      <c r="K8" s="1">
        <v>0.1</v>
      </c>
      <c r="L8" s="6">
        <v>0.5</v>
      </c>
      <c r="M8" s="5">
        <v>0.13200000000000001</v>
      </c>
      <c r="N8" s="6">
        <v>0.14399999999999999</v>
      </c>
      <c r="O8" s="1">
        <v>98</v>
      </c>
      <c r="P8" s="6">
        <v>91</v>
      </c>
      <c r="Q8" s="1" t="s">
        <v>29</v>
      </c>
      <c r="R8" s="1">
        <v>1</v>
      </c>
      <c r="S8" s="1" t="s">
        <v>47</v>
      </c>
      <c r="T8" s="6">
        <v>1</v>
      </c>
      <c r="U8" s="1">
        <v>10</v>
      </c>
      <c r="V8" s="1">
        <v>5</v>
      </c>
      <c r="W8" s="9" t="s">
        <v>25</v>
      </c>
    </row>
    <row r="9" spans="1:23" s="1" customFormat="1" x14ac:dyDescent="0.2">
      <c r="A9" s="5" t="s">
        <v>50</v>
      </c>
      <c r="B9" s="1">
        <v>1899</v>
      </c>
      <c r="C9" s="1" t="s">
        <v>22</v>
      </c>
      <c r="D9" s="1">
        <v>5</v>
      </c>
      <c r="E9" s="5">
        <v>29.5</v>
      </c>
      <c r="F9" s="6">
        <v>29.69</v>
      </c>
      <c r="G9" s="1">
        <v>31.9</v>
      </c>
      <c r="H9" s="1">
        <v>30.6</v>
      </c>
      <c r="I9" s="1">
        <v>26.2</v>
      </c>
      <c r="J9" s="6">
        <v>36</v>
      </c>
      <c r="K9" s="1">
        <v>0.2</v>
      </c>
      <c r="L9" s="6">
        <v>1.1000000000000001</v>
      </c>
      <c r="M9" s="5">
        <v>0.17699999999999999</v>
      </c>
      <c r="N9" s="6">
        <v>0.14299999999999999</v>
      </c>
      <c r="O9" s="1">
        <v>98</v>
      </c>
      <c r="P9" s="6">
        <v>84</v>
      </c>
      <c r="Q9" s="1" t="s">
        <v>47</v>
      </c>
      <c r="R9" s="1">
        <v>2</v>
      </c>
      <c r="S9" s="1" t="s">
        <v>47</v>
      </c>
      <c r="T9" s="6">
        <v>2</v>
      </c>
      <c r="U9" s="1">
        <v>10</v>
      </c>
      <c r="V9" s="1">
        <v>5</v>
      </c>
      <c r="W9" s="9">
        <v>0.01</v>
      </c>
    </row>
    <row r="10" spans="1:23" s="1" customFormat="1" x14ac:dyDescent="0.2">
      <c r="A10" s="5" t="s">
        <v>50</v>
      </c>
      <c r="B10" s="1">
        <v>1899</v>
      </c>
      <c r="C10" s="1" t="s">
        <v>22</v>
      </c>
      <c r="D10" s="1">
        <v>6</v>
      </c>
      <c r="E10" s="5">
        <v>29.69</v>
      </c>
      <c r="F10" s="6">
        <v>29.51</v>
      </c>
      <c r="G10" s="1">
        <v>36.9</v>
      </c>
      <c r="H10" s="1">
        <v>33.799999999999997</v>
      </c>
      <c r="I10" s="1">
        <v>29.7</v>
      </c>
      <c r="J10" s="6">
        <v>37.299999999999997</v>
      </c>
      <c r="K10" s="1">
        <v>0.4</v>
      </c>
      <c r="L10" s="6">
        <v>0.5</v>
      </c>
      <c r="M10" s="5">
        <v>0.21099999999999999</v>
      </c>
      <c r="N10" s="6">
        <v>0.184</v>
      </c>
      <c r="O10" s="1">
        <v>97</v>
      </c>
      <c r="P10" s="6">
        <v>94</v>
      </c>
      <c r="Q10" s="1" t="s">
        <v>31</v>
      </c>
      <c r="R10" s="1">
        <v>6</v>
      </c>
      <c r="S10" s="1" t="s">
        <v>31</v>
      </c>
      <c r="T10" s="6">
        <v>2</v>
      </c>
      <c r="U10" s="1">
        <v>10</v>
      </c>
      <c r="V10" s="1">
        <v>10</v>
      </c>
      <c r="W10" s="9">
        <v>7.0000000000000007E-2</v>
      </c>
    </row>
    <row r="11" spans="1:23" s="1" customFormat="1" x14ac:dyDescent="0.2">
      <c r="A11" s="5" t="s">
        <v>50</v>
      </c>
      <c r="B11" s="1">
        <v>1899</v>
      </c>
      <c r="C11" s="1" t="s">
        <v>22</v>
      </c>
      <c r="D11" s="1">
        <v>7</v>
      </c>
      <c r="E11" s="5">
        <v>29.24</v>
      </c>
      <c r="F11" s="6">
        <v>29.1</v>
      </c>
      <c r="G11" s="1">
        <v>36.1</v>
      </c>
      <c r="H11" s="1">
        <v>37.6</v>
      </c>
      <c r="I11" s="1">
        <v>32</v>
      </c>
      <c r="J11" s="6">
        <v>37.799999999999997</v>
      </c>
      <c r="K11" s="1">
        <v>0.6</v>
      </c>
      <c r="L11" s="6">
        <v>0.1</v>
      </c>
      <c r="M11" s="5">
        <v>0.20200000000000001</v>
      </c>
      <c r="N11" s="6">
        <v>0.223</v>
      </c>
      <c r="O11" s="1">
        <v>95</v>
      </c>
      <c r="P11" s="6">
        <v>100</v>
      </c>
      <c r="Q11" s="1" t="s">
        <v>31</v>
      </c>
      <c r="R11" s="1">
        <v>6</v>
      </c>
      <c r="S11" s="1" t="s">
        <v>31</v>
      </c>
      <c r="T11" s="6">
        <v>1</v>
      </c>
      <c r="U11" s="1">
        <v>10</v>
      </c>
      <c r="V11" s="1">
        <v>10</v>
      </c>
      <c r="W11" s="9">
        <v>0.26</v>
      </c>
    </row>
    <row r="12" spans="1:23" s="1" customFormat="1" x14ac:dyDescent="0.2">
      <c r="A12" s="5" t="s">
        <v>50</v>
      </c>
      <c r="B12" s="1">
        <v>1899</v>
      </c>
      <c r="C12" s="1" t="s">
        <v>22</v>
      </c>
      <c r="D12" s="1">
        <v>8</v>
      </c>
      <c r="E12" s="5">
        <v>28.99</v>
      </c>
      <c r="F12" s="6">
        <v>28.75</v>
      </c>
      <c r="G12" s="1">
        <v>39.5</v>
      </c>
      <c r="H12" s="1">
        <v>42.7</v>
      </c>
      <c r="I12" s="1">
        <v>35.9</v>
      </c>
      <c r="J12" s="6">
        <v>45.8</v>
      </c>
      <c r="K12" s="1">
        <v>0.4</v>
      </c>
      <c r="L12" s="6">
        <v>0.2</v>
      </c>
      <c r="M12" s="5">
        <v>0.23400000000000001</v>
      </c>
      <c r="N12" s="6">
        <v>0.27</v>
      </c>
      <c r="O12" s="1">
        <v>97</v>
      </c>
      <c r="P12" s="6">
        <v>98</v>
      </c>
      <c r="Q12" s="1" t="s">
        <v>31</v>
      </c>
      <c r="R12" s="1">
        <v>1</v>
      </c>
      <c r="S12" s="1" t="s">
        <v>31</v>
      </c>
      <c r="T12" s="6">
        <v>1</v>
      </c>
      <c r="U12" s="1">
        <v>10</v>
      </c>
      <c r="V12" s="1">
        <v>10</v>
      </c>
      <c r="W12" s="9">
        <v>0.47</v>
      </c>
    </row>
    <row r="13" spans="1:23" s="1" customFormat="1" x14ac:dyDescent="0.2">
      <c r="A13" s="5" t="s">
        <v>50</v>
      </c>
      <c r="B13" s="1">
        <v>1899</v>
      </c>
      <c r="C13" s="1" t="s">
        <v>22</v>
      </c>
      <c r="D13" s="1">
        <v>9</v>
      </c>
      <c r="E13" s="5">
        <v>28.91</v>
      </c>
      <c r="F13" s="6">
        <v>28.74</v>
      </c>
      <c r="G13" s="1">
        <v>38.6</v>
      </c>
      <c r="H13" s="1">
        <v>42.3</v>
      </c>
      <c r="I13" s="1">
        <v>35.799999999999997</v>
      </c>
      <c r="J13" s="6">
        <v>44.1</v>
      </c>
      <c r="K13" s="1">
        <v>0.6</v>
      </c>
      <c r="L13" s="6">
        <v>0.8</v>
      </c>
      <c r="M13" s="5">
        <v>0.222</v>
      </c>
      <c r="N13" s="6">
        <v>0.253</v>
      </c>
      <c r="O13" s="1">
        <v>95</v>
      </c>
      <c r="P13" s="6">
        <v>94</v>
      </c>
      <c r="Q13" s="1" t="s">
        <v>35</v>
      </c>
      <c r="R13" s="1">
        <v>2</v>
      </c>
      <c r="S13" s="1" t="s">
        <v>31</v>
      </c>
      <c r="T13" s="6">
        <v>6</v>
      </c>
      <c r="U13" s="1">
        <v>0</v>
      </c>
      <c r="V13" s="1">
        <v>10</v>
      </c>
      <c r="W13" s="9">
        <v>0.19</v>
      </c>
    </row>
    <row r="14" spans="1:23" s="1" customFormat="1" x14ac:dyDescent="0.2">
      <c r="A14" s="5" t="s">
        <v>50</v>
      </c>
      <c r="B14" s="1">
        <v>1899</v>
      </c>
      <c r="C14" s="1" t="s">
        <v>22</v>
      </c>
      <c r="D14" s="1">
        <v>10</v>
      </c>
      <c r="E14" s="5">
        <v>28.95</v>
      </c>
      <c r="F14" s="6">
        <v>28.91</v>
      </c>
      <c r="G14" s="1">
        <v>43.5</v>
      </c>
      <c r="H14" s="1">
        <v>48.2</v>
      </c>
      <c r="I14" s="1">
        <v>36.200000000000003</v>
      </c>
      <c r="J14" s="6">
        <v>48.2</v>
      </c>
      <c r="K14" s="1">
        <v>1.5</v>
      </c>
      <c r="L14" s="6">
        <v>2.1</v>
      </c>
      <c r="M14" s="5">
        <v>0.249</v>
      </c>
      <c r="N14" s="6">
        <v>0.28499999999999998</v>
      </c>
      <c r="O14" s="1">
        <v>88</v>
      </c>
      <c r="P14" s="6">
        <v>86</v>
      </c>
      <c r="Q14" s="1" t="s">
        <v>44</v>
      </c>
      <c r="R14" s="1">
        <v>1</v>
      </c>
      <c r="S14" s="1" t="s">
        <v>35</v>
      </c>
      <c r="T14" s="6">
        <v>4</v>
      </c>
      <c r="U14" s="1">
        <v>10</v>
      </c>
      <c r="V14" s="1">
        <v>10</v>
      </c>
      <c r="W14" s="9">
        <v>0.32</v>
      </c>
    </row>
    <row r="15" spans="1:23" s="1" customFormat="1" x14ac:dyDescent="0.2">
      <c r="A15" s="5" t="s">
        <v>50</v>
      </c>
      <c r="B15" s="1">
        <v>1899</v>
      </c>
      <c r="C15" s="1" t="s">
        <v>22</v>
      </c>
      <c r="D15" s="1">
        <v>11</v>
      </c>
      <c r="E15" s="5">
        <v>29.02</v>
      </c>
      <c r="F15" s="6">
        <v>28.82</v>
      </c>
      <c r="G15" s="1">
        <v>47.3</v>
      </c>
      <c r="H15" s="1">
        <v>45.6</v>
      </c>
      <c r="I15" s="1">
        <v>42.3</v>
      </c>
      <c r="J15" s="6">
        <v>50.4</v>
      </c>
      <c r="K15" s="1">
        <v>1.9</v>
      </c>
      <c r="L15" s="6">
        <v>1.4</v>
      </c>
      <c r="M15" s="5">
        <v>0.28000000000000003</v>
      </c>
      <c r="N15" s="6">
        <v>0.27400000000000002</v>
      </c>
      <c r="O15" s="1">
        <v>87</v>
      </c>
      <c r="P15" s="6">
        <v>90</v>
      </c>
      <c r="Q15" s="1" t="s">
        <v>44</v>
      </c>
      <c r="R15" s="1">
        <v>4</v>
      </c>
      <c r="S15" s="1" t="s">
        <v>31</v>
      </c>
      <c r="T15" s="6">
        <v>4</v>
      </c>
      <c r="U15" s="1">
        <v>5</v>
      </c>
      <c r="V15" s="1">
        <v>10</v>
      </c>
      <c r="W15" s="9">
        <v>0.18</v>
      </c>
    </row>
    <row r="16" spans="1:23" s="1" customFormat="1" x14ac:dyDescent="0.2">
      <c r="A16" s="5" t="s">
        <v>50</v>
      </c>
      <c r="B16" s="1">
        <v>1899</v>
      </c>
      <c r="C16" s="1" t="s">
        <v>22</v>
      </c>
      <c r="D16" s="1">
        <v>12</v>
      </c>
      <c r="E16" s="5">
        <v>28.72</v>
      </c>
      <c r="F16" s="6">
        <v>28.91</v>
      </c>
      <c r="G16" s="1">
        <v>42</v>
      </c>
      <c r="H16" s="1">
        <v>40.799999999999997</v>
      </c>
      <c r="I16" s="1">
        <v>39.700000000000003</v>
      </c>
      <c r="J16" s="6">
        <v>46.9</v>
      </c>
      <c r="K16" s="1">
        <v>0.5</v>
      </c>
      <c r="L16" s="6">
        <v>1</v>
      </c>
      <c r="M16" s="5">
        <v>0.25600000000000001</v>
      </c>
      <c r="N16" s="6">
        <v>0.23400000000000001</v>
      </c>
      <c r="O16" s="1">
        <v>96</v>
      </c>
      <c r="P16" s="6">
        <v>92</v>
      </c>
      <c r="Q16" s="1" t="s">
        <v>44</v>
      </c>
      <c r="R16" s="1">
        <v>1</v>
      </c>
      <c r="S16" s="1" t="s">
        <v>44</v>
      </c>
      <c r="T16" s="6">
        <v>1</v>
      </c>
      <c r="U16" s="1">
        <v>10</v>
      </c>
      <c r="V16" s="1">
        <v>5</v>
      </c>
      <c r="W16" s="9">
        <v>0.08</v>
      </c>
    </row>
    <row r="17" spans="1:23" s="1" customFormat="1" x14ac:dyDescent="0.2">
      <c r="A17" s="5" t="s">
        <v>50</v>
      </c>
      <c r="B17" s="1">
        <v>1899</v>
      </c>
      <c r="C17" s="1" t="s">
        <v>22</v>
      </c>
      <c r="D17" s="1">
        <v>13</v>
      </c>
      <c r="E17" s="5">
        <v>28.85</v>
      </c>
      <c r="F17" s="6">
        <v>28.64</v>
      </c>
      <c r="G17" s="1">
        <v>38.799999999999997</v>
      </c>
      <c r="H17" s="1">
        <v>42.2</v>
      </c>
      <c r="I17" s="1">
        <v>32.200000000000003</v>
      </c>
      <c r="J17" s="6">
        <v>43.7</v>
      </c>
      <c r="K17" s="1">
        <v>0.3</v>
      </c>
      <c r="L17" s="6">
        <v>1.5</v>
      </c>
      <c r="M17" s="5">
        <v>0.23</v>
      </c>
      <c r="N17" s="6">
        <v>0.23699999999999999</v>
      </c>
      <c r="O17" s="1">
        <v>98</v>
      </c>
      <c r="P17" s="6">
        <v>89</v>
      </c>
      <c r="Q17" s="1" t="s">
        <v>31</v>
      </c>
      <c r="R17" s="1">
        <v>1</v>
      </c>
      <c r="S17" s="1" t="s">
        <v>35</v>
      </c>
      <c r="T17" s="6">
        <v>4</v>
      </c>
      <c r="U17" s="1">
        <v>10</v>
      </c>
      <c r="V17" s="1">
        <v>10</v>
      </c>
      <c r="W17" s="9">
        <v>0.31</v>
      </c>
    </row>
    <row r="18" spans="1:23" s="1" customFormat="1" x14ac:dyDescent="0.2">
      <c r="A18" s="5" t="s">
        <v>50</v>
      </c>
      <c r="B18" s="1">
        <v>1899</v>
      </c>
      <c r="C18" s="1" t="s">
        <v>22</v>
      </c>
      <c r="D18" s="1">
        <v>14</v>
      </c>
      <c r="E18" s="5">
        <v>28.85</v>
      </c>
      <c r="F18" s="6">
        <v>29.21</v>
      </c>
      <c r="G18" s="1">
        <v>38.6</v>
      </c>
      <c r="H18" s="1">
        <v>41.1</v>
      </c>
      <c r="I18" s="1">
        <v>34.799999999999997</v>
      </c>
      <c r="J18" s="6">
        <v>45.6</v>
      </c>
      <c r="K18" s="1">
        <v>0.9</v>
      </c>
      <c r="L18" s="6">
        <v>1.8</v>
      </c>
      <c r="M18" s="5">
        <v>0.217</v>
      </c>
      <c r="N18" s="6">
        <v>0.22</v>
      </c>
      <c r="O18" s="1">
        <v>93</v>
      </c>
      <c r="P18" s="6">
        <v>85</v>
      </c>
      <c r="Q18" s="1" t="s">
        <v>35</v>
      </c>
      <c r="R18" s="1">
        <v>2</v>
      </c>
      <c r="S18" s="1" t="s">
        <v>35</v>
      </c>
      <c r="T18" s="6">
        <v>6</v>
      </c>
      <c r="U18" s="1">
        <v>5</v>
      </c>
      <c r="V18" s="1">
        <v>5</v>
      </c>
      <c r="W18" s="9" t="s">
        <v>25</v>
      </c>
    </row>
    <row r="19" spans="1:23" s="1" customFormat="1" x14ac:dyDescent="0.2">
      <c r="A19" s="5" t="s">
        <v>50</v>
      </c>
      <c r="B19" s="1">
        <v>1899</v>
      </c>
      <c r="C19" s="1" t="s">
        <v>22</v>
      </c>
      <c r="D19" s="1">
        <v>15</v>
      </c>
      <c r="E19" s="5">
        <v>29.3</v>
      </c>
      <c r="F19" s="6">
        <v>29.51</v>
      </c>
      <c r="G19" s="1">
        <v>42.8</v>
      </c>
      <c r="H19" s="1">
        <v>39.4</v>
      </c>
      <c r="I19" s="1">
        <v>38.200000000000003</v>
      </c>
      <c r="J19" s="6">
        <v>46.8</v>
      </c>
      <c r="K19" s="1">
        <v>2.7</v>
      </c>
      <c r="L19" s="6">
        <v>1.6</v>
      </c>
      <c r="M19" s="5">
        <v>0.219</v>
      </c>
      <c r="N19" s="6">
        <v>0.21</v>
      </c>
      <c r="O19" s="1">
        <v>80</v>
      </c>
      <c r="P19" s="6">
        <v>87</v>
      </c>
      <c r="Q19" s="1" t="s">
        <v>35</v>
      </c>
      <c r="R19" s="1">
        <v>6</v>
      </c>
      <c r="S19" s="1" t="s">
        <v>44</v>
      </c>
      <c r="T19" s="6">
        <v>1</v>
      </c>
      <c r="U19" s="1">
        <v>10</v>
      </c>
      <c r="V19" s="1">
        <v>5</v>
      </c>
      <c r="W19" s="9" t="s">
        <v>25</v>
      </c>
    </row>
    <row r="20" spans="1:23" s="1" customFormat="1" x14ac:dyDescent="0.2">
      <c r="A20" s="5" t="s">
        <v>50</v>
      </c>
      <c r="B20" s="1">
        <v>1899</v>
      </c>
      <c r="C20" s="1" t="s">
        <v>22</v>
      </c>
      <c r="D20" s="1">
        <v>16</v>
      </c>
      <c r="E20" s="5">
        <v>29.51</v>
      </c>
      <c r="F20" s="6">
        <v>29.54</v>
      </c>
      <c r="G20" s="1">
        <v>37.5</v>
      </c>
      <c r="H20" s="1">
        <v>45.9</v>
      </c>
      <c r="I20" s="1">
        <v>29.7</v>
      </c>
      <c r="J20" s="6">
        <v>45.9</v>
      </c>
      <c r="K20" s="1">
        <v>0.9</v>
      </c>
      <c r="L20" s="6">
        <v>1.4</v>
      </c>
      <c r="M20" s="5">
        <v>0.20699999999999999</v>
      </c>
      <c r="N20" s="6">
        <v>0.27800000000000002</v>
      </c>
      <c r="O20" s="1">
        <v>92</v>
      </c>
      <c r="P20" s="6">
        <v>91</v>
      </c>
      <c r="Q20" s="1" t="s">
        <v>35</v>
      </c>
      <c r="R20" s="1">
        <v>2</v>
      </c>
      <c r="S20" s="1" t="s">
        <v>35</v>
      </c>
      <c r="T20" s="6">
        <v>4</v>
      </c>
      <c r="U20" s="1">
        <v>5</v>
      </c>
      <c r="V20" s="1">
        <v>10</v>
      </c>
      <c r="W20" s="9">
        <v>0.03</v>
      </c>
    </row>
    <row r="21" spans="1:23" s="1" customFormat="1" x14ac:dyDescent="0.2">
      <c r="A21" s="5" t="s">
        <v>50</v>
      </c>
      <c r="B21" s="1">
        <v>1899</v>
      </c>
      <c r="C21" s="1" t="s">
        <v>22</v>
      </c>
      <c r="D21" s="1">
        <v>17</v>
      </c>
      <c r="E21" s="5">
        <v>29.65</v>
      </c>
      <c r="F21" s="6">
        <v>29.78</v>
      </c>
      <c r="G21" s="1">
        <v>44.6</v>
      </c>
      <c r="H21" s="1">
        <v>45.6</v>
      </c>
      <c r="I21" s="1">
        <v>42.4</v>
      </c>
      <c r="J21" s="6">
        <v>49.8</v>
      </c>
      <c r="K21" s="1">
        <v>1.6</v>
      </c>
      <c r="L21" s="6">
        <v>1.1000000000000001</v>
      </c>
      <c r="M21" s="5">
        <v>0.25900000000000001</v>
      </c>
      <c r="N21" s="6">
        <v>0.28100000000000003</v>
      </c>
      <c r="O21" s="1">
        <v>88</v>
      </c>
      <c r="P21" s="6">
        <v>92</v>
      </c>
      <c r="Q21" s="1" t="s">
        <v>35</v>
      </c>
      <c r="R21" s="1">
        <v>4</v>
      </c>
      <c r="S21" s="1" t="s">
        <v>44</v>
      </c>
      <c r="T21" s="6">
        <v>1</v>
      </c>
      <c r="U21" s="1">
        <v>10</v>
      </c>
      <c r="V21" s="1">
        <v>10</v>
      </c>
      <c r="W21" s="9">
        <v>0.2</v>
      </c>
    </row>
    <row r="22" spans="1:23" s="1" customFormat="1" x14ac:dyDescent="0.2">
      <c r="A22" s="5" t="s">
        <v>50</v>
      </c>
      <c r="B22" s="1">
        <v>1899</v>
      </c>
      <c r="C22" s="1" t="s">
        <v>22</v>
      </c>
      <c r="D22" s="1">
        <v>18</v>
      </c>
      <c r="E22" s="5">
        <v>29.78</v>
      </c>
      <c r="F22" s="6">
        <v>29.85</v>
      </c>
      <c r="G22" s="1">
        <v>43.6</v>
      </c>
      <c r="H22" s="1">
        <v>41.2</v>
      </c>
      <c r="I22" s="1">
        <v>39.799999999999997</v>
      </c>
      <c r="J22" s="6">
        <v>46.3</v>
      </c>
      <c r="K22" s="1">
        <v>0.1</v>
      </c>
      <c r="L22" s="6">
        <v>0.6</v>
      </c>
      <c r="M22" s="5">
        <v>0.28199999999999997</v>
      </c>
      <c r="N22" s="6">
        <v>0.246</v>
      </c>
      <c r="O22" s="1">
        <v>99</v>
      </c>
      <c r="P22" s="6">
        <v>96</v>
      </c>
      <c r="Q22" s="1" t="s">
        <v>47</v>
      </c>
      <c r="R22" s="1">
        <v>1</v>
      </c>
      <c r="S22" s="1" t="s">
        <v>29</v>
      </c>
      <c r="T22" s="6">
        <v>1</v>
      </c>
      <c r="U22" s="1">
        <v>10</v>
      </c>
      <c r="V22" s="1">
        <v>10</v>
      </c>
      <c r="W22" s="9">
        <v>0.17</v>
      </c>
    </row>
    <row r="23" spans="1:23" s="1" customFormat="1" x14ac:dyDescent="0.2">
      <c r="A23" s="5" t="s">
        <v>50</v>
      </c>
      <c r="B23" s="1">
        <v>1899</v>
      </c>
      <c r="C23" s="1" t="s">
        <v>22</v>
      </c>
      <c r="D23" s="1">
        <v>19</v>
      </c>
      <c r="E23" s="5">
        <v>29.98</v>
      </c>
      <c r="F23" s="6">
        <v>30.13</v>
      </c>
      <c r="G23" s="1">
        <v>39.799999999999997</v>
      </c>
      <c r="H23" s="1">
        <v>36.9</v>
      </c>
      <c r="I23" s="1">
        <v>35.700000000000003</v>
      </c>
      <c r="J23" s="6">
        <v>45.5</v>
      </c>
      <c r="K23" s="1">
        <v>0.3</v>
      </c>
      <c r="L23" s="6">
        <v>1.7</v>
      </c>
      <c r="M23" s="5">
        <v>0.23899999999999999</v>
      </c>
      <c r="N23" s="6">
        <v>0.187</v>
      </c>
      <c r="O23" s="1">
        <v>98</v>
      </c>
      <c r="P23" s="6">
        <v>86</v>
      </c>
      <c r="Q23" s="1" t="s">
        <v>29</v>
      </c>
      <c r="R23" s="1">
        <v>1</v>
      </c>
      <c r="S23" s="1" t="s">
        <v>29</v>
      </c>
      <c r="T23" s="6">
        <v>1</v>
      </c>
      <c r="U23" s="1">
        <v>10</v>
      </c>
      <c r="V23" s="1">
        <v>10</v>
      </c>
      <c r="W23" s="9" t="s">
        <v>25</v>
      </c>
    </row>
    <row r="24" spans="1:23" s="1" customFormat="1" x14ac:dyDescent="0.2">
      <c r="A24" s="5" t="s">
        <v>50</v>
      </c>
      <c r="B24" s="1">
        <v>1899</v>
      </c>
      <c r="C24" s="1" t="s">
        <v>22</v>
      </c>
      <c r="D24" s="1">
        <v>20</v>
      </c>
      <c r="E24" s="5">
        <v>30.22</v>
      </c>
      <c r="F24" s="6">
        <v>30.24</v>
      </c>
      <c r="G24" s="1">
        <v>32.799999999999997</v>
      </c>
      <c r="H24" s="1">
        <v>39.5</v>
      </c>
      <c r="I24" s="1">
        <v>29.2</v>
      </c>
      <c r="J24" s="6">
        <v>42.9</v>
      </c>
      <c r="K24" s="1">
        <v>0.5</v>
      </c>
      <c r="L24" s="6">
        <v>1.4</v>
      </c>
      <c r="M24" s="5">
        <v>0.17699999999999999</v>
      </c>
      <c r="N24" s="6">
        <v>0.214</v>
      </c>
      <c r="O24" s="1">
        <v>94</v>
      </c>
      <c r="P24" s="6">
        <v>89</v>
      </c>
      <c r="Q24" s="1" t="s">
        <v>35</v>
      </c>
      <c r="R24" s="1">
        <v>1</v>
      </c>
      <c r="S24" s="1" t="s">
        <v>31</v>
      </c>
      <c r="T24" s="6">
        <v>2</v>
      </c>
      <c r="U24" s="1">
        <v>10</v>
      </c>
      <c r="V24" s="1">
        <v>10</v>
      </c>
      <c r="W24" s="9" t="s">
        <v>25</v>
      </c>
    </row>
    <row r="25" spans="1:23" s="1" customFormat="1" x14ac:dyDescent="0.2">
      <c r="A25" s="5" t="s">
        <v>50</v>
      </c>
      <c r="B25" s="1">
        <v>1899</v>
      </c>
      <c r="C25" s="1" t="s">
        <v>22</v>
      </c>
      <c r="D25" s="1">
        <v>21</v>
      </c>
      <c r="E25" s="5">
        <v>30.24</v>
      </c>
      <c r="F25" s="6">
        <v>30.22</v>
      </c>
      <c r="G25" s="1">
        <v>41.8</v>
      </c>
      <c r="H25" s="1">
        <v>36.299999999999997</v>
      </c>
      <c r="I25" s="1">
        <v>35.4</v>
      </c>
      <c r="J25" s="6">
        <v>45.1</v>
      </c>
      <c r="K25" s="1">
        <v>0.9</v>
      </c>
      <c r="L25" s="6">
        <v>0.8</v>
      </c>
      <c r="M25" s="5">
        <v>0.247</v>
      </c>
      <c r="N25" s="6">
        <v>0.2</v>
      </c>
      <c r="O25" s="1">
        <v>93</v>
      </c>
      <c r="P25" s="6">
        <v>94</v>
      </c>
      <c r="Q25" s="1" t="s">
        <v>31</v>
      </c>
      <c r="R25" s="1">
        <v>4</v>
      </c>
      <c r="S25" s="1" t="s">
        <v>31</v>
      </c>
      <c r="T25" s="6">
        <v>2</v>
      </c>
      <c r="U25" s="1">
        <v>10</v>
      </c>
      <c r="V25" s="1">
        <v>5</v>
      </c>
      <c r="W25" s="9" t="s">
        <v>25</v>
      </c>
    </row>
    <row r="26" spans="1:23" s="1" customFormat="1" x14ac:dyDescent="0.2">
      <c r="A26" s="5" t="s">
        <v>50</v>
      </c>
      <c r="B26" s="1">
        <v>1899</v>
      </c>
      <c r="C26" s="1" t="s">
        <v>22</v>
      </c>
      <c r="D26" s="1">
        <v>22</v>
      </c>
      <c r="E26" s="5">
        <v>30.17</v>
      </c>
      <c r="F26" s="6">
        <v>30.1</v>
      </c>
      <c r="G26" s="1">
        <v>31.1</v>
      </c>
      <c r="H26" s="1">
        <v>30.7</v>
      </c>
      <c r="I26" s="1">
        <v>28</v>
      </c>
      <c r="J26" s="6">
        <v>37.799999999999997</v>
      </c>
      <c r="K26" s="1">
        <v>0.6</v>
      </c>
      <c r="L26" s="6">
        <v>0.2</v>
      </c>
      <c r="M26" s="5">
        <v>0.16</v>
      </c>
      <c r="N26" s="6">
        <v>0.16700000000000001</v>
      </c>
      <c r="O26" s="1">
        <v>91</v>
      </c>
      <c r="P26" s="6">
        <v>97</v>
      </c>
      <c r="Q26" s="1" t="s">
        <v>44</v>
      </c>
      <c r="R26" s="1">
        <v>1</v>
      </c>
      <c r="S26" s="1" t="s">
        <v>24</v>
      </c>
      <c r="T26" s="6">
        <v>1</v>
      </c>
      <c r="U26" s="1">
        <v>5</v>
      </c>
      <c r="V26" s="1">
        <v>0</v>
      </c>
      <c r="W26" s="9" t="s">
        <v>25</v>
      </c>
    </row>
    <row r="27" spans="1:23" s="1" customFormat="1" x14ac:dyDescent="0.2">
      <c r="A27" s="5" t="s">
        <v>50</v>
      </c>
      <c r="B27" s="1">
        <v>1899</v>
      </c>
      <c r="C27" s="1" t="s">
        <v>22</v>
      </c>
      <c r="D27" s="1">
        <v>23</v>
      </c>
      <c r="E27" s="5">
        <v>30.05</v>
      </c>
      <c r="F27" s="6">
        <v>30.02</v>
      </c>
      <c r="G27" s="1">
        <v>28.1</v>
      </c>
      <c r="H27" s="1">
        <v>33.1</v>
      </c>
      <c r="I27" s="1">
        <v>25.2</v>
      </c>
      <c r="J27" s="6">
        <v>43.3</v>
      </c>
      <c r="K27" s="1">
        <v>0.6</v>
      </c>
      <c r="L27" s="6">
        <v>0.6</v>
      </c>
      <c r="M27" s="5">
        <v>0.13500000000000001</v>
      </c>
      <c r="N27" s="6">
        <v>0.17599999999999999</v>
      </c>
      <c r="O27" s="1">
        <v>88</v>
      </c>
      <c r="P27" s="6">
        <v>93</v>
      </c>
      <c r="Q27" s="1" t="s">
        <v>29</v>
      </c>
      <c r="R27" s="1">
        <v>1</v>
      </c>
      <c r="S27" s="1" t="s">
        <v>44</v>
      </c>
      <c r="T27" s="6">
        <v>1</v>
      </c>
      <c r="U27" s="1">
        <v>0</v>
      </c>
      <c r="V27" s="1">
        <v>7</v>
      </c>
      <c r="W27" s="9" t="s">
        <v>25</v>
      </c>
    </row>
    <row r="28" spans="1:23" s="1" customFormat="1" x14ac:dyDescent="0.2">
      <c r="A28" s="5" t="s">
        <v>50</v>
      </c>
      <c r="B28" s="1">
        <v>1899</v>
      </c>
      <c r="C28" s="1" t="s">
        <v>22</v>
      </c>
      <c r="D28" s="1">
        <v>24</v>
      </c>
      <c r="E28" s="5">
        <v>30.11</v>
      </c>
      <c r="F28" s="6">
        <v>30.14</v>
      </c>
      <c r="G28" s="1">
        <v>30.5</v>
      </c>
      <c r="H28" s="1">
        <v>35.200000000000003</v>
      </c>
      <c r="I28" s="1">
        <v>27.1</v>
      </c>
      <c r="J28" s="6">
        <v>43.8</v>
      </c>
      <c r="K28" s="1">
        <v>1</v>
      </c>
      <c r="L28" s="6">
        <v>0.4</v>
      </c>
      <c r="M28" s="5">
        <v>0.14499999999999999</v>
      </c>
      <c r="N28" s="6">
        <v>0.19600000000000001</v>
      </c>
      <c r="O28" s="1">
        <v>85</v>
      </c>
      <c r="P28" s="6">
        <v>95</v>
      </c>
      <c r="Q28" s="1" t="s">
        <v>31</v>
      </c>
      <c r="R28" s="1">
        <v>1</v>
      </c>
      <c r="S28" s="1" t="s">
        <v>47</v>
      </c>
      <c r="T28" s="6">
        <v>1</v>
      </c>
      <c r="U28" s="1">
        <v>0</v>
      </c>
      <c r="V28" s="1">
        <v>0</v>
      </c>
      <c r="W28" s="9" t="s">
        <v>25</v>
      </c>
    </row>
    <row r="29" spans="1:23" s="1" customFormat="1" x14ac:dyDescent="0.2">
      <c r="A29" s="5" t="s">
        <v>50</v>
      </c>
      <c r="B29" s="1">
        <v>1899</v>
      </c>
      <c r="C29" s="1" t="s">
        <v>22</v>
      </c>
      <c r="D29" s="1">
        <v>25</v>
      </c>
      <c r="E29" s="5">
        <v>30.2</v>
      </c>
      <c r="F29" s="6">
        <v>30.19</v>
      </c>
      <c r="G29" s="1">
        <v>36</v>
      </c>
      <c r="H29" s="1">
        <v>33.5</v>
      </c>
      <c r="I29" s="1">
        <v>30.8</v>
      </c>
      <c r="J29" s="6">
        <v>42.2</v>
      </c>
      <c r="K29" s="1">
        <v>1</v>
      </c>
      <c r="L29" s="6">
        <v>0.3</v>
      </c>
      <c r="M29" s="5">
        <v>0.193</v>
      </c>
      <c r="N29" s="6">
        <v>0.186</v>
      </c>
      <c r="O29" s="1">
        <v>91</v>
      </c>
      <c r="P29" s="6">
        <v>96</v>
      </c>
      <c r="Q29" s="1" t="s">
        <v>35</v>
      </c>
      <c r="R29" s="1">
        <v>1</v>
      </c>
      <c r="S29" s="1" t="s">
        <v>43</v>
      </c>
      <c r="T29" s="6">
        <v>1</v>
      </c>
      <c r="U29" s="1">
        <v>10</v>
      </c>
      <c r="V29" s="1">
        <v>0</v>
      </c>
      <c r="W29" s="9" t="s">
        <v>25</v>
      </c>
    </row>
    <row r="30" spans="1:23" s="1" customFormat="1" x14ac:dyDescent="0.2">
      <c r="A30" s="5" t="s">
        <v>50</v>
      </c>
      <c r="B30" s="1">
        <v>1899</v>
      </c>
      <c r="C30" s="1" t="s">
        <v>22</v>
      </c>
      <c r="D30" s="1">
        <v>26</v>
      </c>
      <c r="E30" s="5">
        <v>30.18</v>
      </c>
      <c r="F30" s="6">
        <v>30.21</v>
      </c>
      <c r="G30" s="1">
        <v>28.1</v>
      </c>
      <c r="H30" s="1">
        <v>30.3</v>
      </c>
      <c r="I30" s="1">
        <v>25.8</v>
      </c>
      <c r="J30" s="6">
        <v>33.5</v>
      </c>
      <c r="K30" s="1">
        <v>0.6</v>
      </c>
      <c r="L30" s="6">
        <v>0.8</v>
      </c>
      <c r="M30" s="5">
        <v>0.13500000000000001</v>
      </c>
      <c r="N30" s="6">
        <v>0.14799999999999999</v>
      </c>
      <c r="O30" s="1">
        <v>88</v>
      </c>
      <c r="P30" s="6">
        <v>88</v>
      </c>
      <c r="Q30" s="1" t="s">
        <v>35</v>
      </c>
      <c r="R30" s="1">
        <v>1</v>
      </c>
      <c r="S30" s="1" t="s">
        <v>44</v>
      </c>
      <c r="T30" s="6">
        <v>1</v>
      </c>
      <c r="U30" s="1">
        <v>10</v>
      </c>
      <c r="V30" s="1">
        <v>10</v>
      </c>
      <c r="W30" s="9">
        <v>0.03</v>
      </c>
    </row>
    <row r="31" spans="1:23" s="1" customFormat="1" x14ac:dyDescent="0.2">
      <c r="A31" s="5" t="s">
        <v>50</v>
      </c>
      <c r="B31" s="1">
        <v>1899</v>
      </c>
      <c r="C31" s="1" t="s">
        <v>22</v>
      </c>
      <c r="D31" s="1">
        <v>27</v>
      </c>
      <c r="E31" s="5">
        <v>30.27</v>
      </c>
      <c r="F31" s="6">
        <v>30.37</v>
      </c>
      <c r="G31" s="1">
        <v>29.2</v>
      </c>
      <c r="H31" s="1">
        <v>37.6</v>
      </c>
      <c r="I31" s="1">
        <v>25</v>
      </c>
      <c r="J31" s="6">
        <v>41.6</v>
      </c>
      <c r="K31" s="1">
        <v>1.7</v>
      </c>
      <c r="L31" s="6">
        <v>1.3</v>
      </c>
      <c r="M31" s="5">
        <v>0.11600000000000001</v>
      </c>
      <c r="N31" s="6">
        <v>0.2</v>
      </c>
      <c r="O31" s="1">
        <v>73</v>
      </c>
      <c r="P31" s="6">
        <v>89</v>
      </c>
      <c r="Q31" s="1" t="s">
        <v>44</v>
      </c>
      <c r="R31" s="1">
        <v>1</v>
      </c>
      <c r="S31" s="1" t="s">
        <v>44</v>
      </c>
      <c r="T31" s="6">
        <v>2</v>
      </c>
      <c r="U31" s="1">
        <v>7</v>
      </c>
      <c r="V31" s="1">
        <v>5</v>
      </c>
      <c r="W31" s="9" t="s">
        <v>25</v>
      </c>
    </row>
    <row r="32" spans="1:23" s="1" customFormat="1" x14ac:dyDescent="0.2">
      <c r="A32" s="5" t="s">
        <v>50</v>
      </c>
      <c r="B32" s="1">
        <v>1899</v>
      </c>
      <c r="C32" s="1" t="s">
        <v>22</v>
      </c>
      <c r="D32" s="1">
        <v>28</v>
      </c>
      <c r="E32" s="5">
        <v>30.37</v>
      </c>
      <c r="F32" s="6">
        <v>30.31</v>
      </c>
      <c r="G32" s="1">
        <v>39.6</v>
      </c>
      <c r="H32" s="1">
        <v>45.2</v>
      </c>
      <c r="I32" s="1">
        <v>34.9</v>
      </c>
      <c r="J32" s="6">
        <v>46.7</v>
      </c>
      <c r="K32" s="1">
        <v>1.6</v>
      </c>
      <c r="L32" s="6">
        <v>0.9</v>
      </c>
      <c r="M32" s="5">
        <v>0.21099999999999999</v>
      </c>
      <c r="N32" s="6">
        <v>0.28000000000000003</v>
      </c>
      <c r="O32" s="1">
        <v>87</v>
      </c>
      <c r="P32" s="6">
        <v>93</v>
      </c>
      <c r="Q32" s="1" t="s">
        <v>44</v>
      </c>
      <c r="R32" s="1">
        <v>4</v>
      </c>
      <c r="S32" s="1" t="s">
        <v>44</v>
      </c>
      <c r="T32" s="6">
        <v>6</v>
      </c>
      <c r="U32" s="1">
        <v>10</v>
      </c>
      <c r="V32" s="1">
        <v>10</v>
      </c>
      <c r="W32" s="9" t="s">
        <v>25</v>
      </c>
    </row>
    <row r="33" spans="1:23" s="1" customFormat="1" x14ac:dyDescent="0.2">
      <c r="A33" s="10"/>
      <c r="B33" s="11"/>
      <c r="C33" s="11"/>
      <c r="D33" s="12" t="s">
        <v>45</v>
      </c>
      <c r="E33" s="11">
        <v>29.606000000000002</v>
      </c>
      <c r="F33" s="12">
        <v>29.611000000000001</v>
      </c>
      <c r="G33" s="10">
        <v>36.6</v>
      </c>
      <c r="H33" s="11">
        <v>38.1</v>
      </c>
      <c r="I33" s="11">
        <v>32.4</v>
      </c>
      <c r="J33" s="12">
        <v>42.8</v>
      </c>
      <c r="K33" s="10">
        <v>1</v>
      </c>
      <c r="L33" s="12">
        <v>1.1000000000000001</v>
      </c>
      <c r="M33" s="11">
        <v>0.2</v>
      </c>
      <c r="N33" s="11">
        <v>0.21099999999999999</v>
      </c>
      <c r="O33" s="10">
        <v>90</v>
      </c>
      <c r="P33" s="12">
        <v>90</v>
      </c>
      <c r="Q33" s="10" t="s">
        <v>25</v>
      </c>
      <c r="R33" s="11">
        <v>2.1</v>
      </c>
      <c r="S33" s="11" t="s">
        <v>25</v>
      </c>
      <c r="T33" s="12">
        <v>2.2000000000000002</v>
      </c>
      <c r="U33" s="10">
        <v>7.6</v>
      </c>
      <c r="V33" s="12">
        <v>7.4</v>
      </c>
      <c r="W33" s="13">
        <v>2.3199999999999998</v>
      </c>
    </row>
    <row r="34" spans="1:23" x14ac:dyDescent="0.2">
      <c r="O34">
        <f>SUM(O5:O32)/28</f>
        <v>90.178571428571431</v>
      </c>
      <c r="P34">
        <f>SUM(P5:P32)/28</f>
        <v>90.214285714285708</v>
      </c>
    </row>
  </sheetData>
  <mergeCells count="8">
    <mergeCell ref="K3:L3"/>
    <mergeCell ref="M3:N3"/>
    <mergeCell ref="O3:P3"/>
    <mergeCell ref="E2:F2"/>
    <mergeCell ref="G2:J2"/>
    <mergeCell ref="K2:P2"/>
    <mergeCell ref="Q2:T2"/>
    <mergeCell ref="U2:V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07B89-795F-47D1-B9D9-3952301305F5}">
  <dimension ref="A2:W34"/>
  <sheetViews>
    <sheetView topLeftCell="L20" workbookViewId="0">
      <selection activeCell="F34" sqref="F34"/>
    </sheetView>
  </sheetViews>
  <sheetFormatPr baseColWidth="10" defaultColWidth="8.83203125" defaultRowHeight="15" x14ac:dyDescent="0.2"/>
  <cols>
    <col min="1" max="1" width="14" customWidth="1"/>
  </cols>
  <sheetData>
    <row r="2" spans="1:23" s="2" customFormat="1" ht="32" x14ac:dyDescent="0.2">
      <c r="A2" s="14"/>
      <c r="B2" s="15"/>
      <c r="C2" s="15"/>
      <c r="D2" s="15"/>
      <c r="E2" s="31" t="s">
        <v>0</v>
      </c>
      <c r="F2" s="32"/>
      <c r="G2" s="33" t="s">
        <v>1</v>
      </c>
      <c r="H2" s="33"/>
      <c r="I2" s="33"/>
      <c r="J2" s="34"/>
      <c r="K2" s="29" t="s">
        <v>2</v>
      </c>
      <c r="L2" s="33"/>
      <c r="M2" s="33"/>
      <c r="N2" s="33"/>
      <c r="O2" s="33"/>
      <c r="P2" s="34"/>
      <c r="Q2" s="33" t="s">
        <v>3</v>
      </c>
      <c r="R2" s="33"/>
      <c r="S2" s="33"/>
      <c r="T2" s="34"/>
      <c r="U2" s="29" t="s">
        <v>4</v>
      </c>
      <c r="V2" s="30"/>
      <c r="W2" s="7" t="s">
        <v>5</v>
      </c>
    </row>
    <row r="3" spans="1:23" s="2" customFormat="1" x14ac:dyDescent="0.2">
      <c r="A3" s="3"/>
      <c r="E3" s="16"/>
      <c r="F3" s="17"/>
      <c r="J3" s="4"/>
      <c r="K3" s="35" t="s">
        <v>6</v>
      </c>
      <c r="L3" s="36"/>
      <c r="M3" s="35" t="s">
        <v>7</v>
      </c>
      <c r="N3" s="36"/>
      <c r="O3" s="37" t="s">
        <v>8</v>
      </c>
      <c r="P3" s="38"/>
      <c r="T3" s="4"/>
      <c r="V3" s="1"/>
      <c r="W3" s="18"/>
    </row>
    <row r="4" spans="1:23" s="2" customFormat="1" x14ac:dyDescent="0.2">
      <c r="A4" s="3" t="s">
        <v>9</v>
      </c>
      <c r="B4" s="2" t="s">
        <v>10</v>
      </c>
      <c r="C4" s="2" t="s">
        <v>11</v>
      </c>
      <c r="D4" s="2" t="s">
        <v>12</v>
      </c>
      <c r="E4" s="3" t="s">
        <v>13</v>
      </c>
      <c r="F4" s="4" t="s">
        <v>14</v>
      </c>
      <c r="G4" s="2" t="s">
        <v>13</v>
      </c>
      <c r="H4" s="2" t="s">
        <v>14</v>
      </c>
      <c r="I4" s="2" t="s">
        <v>15</v>
      </c>
      <c r="J4" s="4" t="s">
        <v>16</v>
      </c>
      <c r="K4" s="2" t="s">
        <v>13</v>
      </c>
      <c r="L4" s="4" t="s">
        <v>14</v>
      </c>
      <c r="M4" s="3" t="s">
        <v>13</v>
      </c>
      <c r="N4" s="4" t="s">
        <v>14</v>
      </c>
      <c r="O4" s="2" t="s">
        <v>13</v>
      </c>
      <c r="P4" s="4" t="s">
        <v>14</v>
      </c>
      <c r="Q4" s="2" t="s">
        <v>17</v>
      </c>
      <c r="R4" s="2" t="s">
        <v>18</v>
      </c>
      <c r="S4" s="2" t="s">
        <v>19</v>
      </c>
      <c r="T4" s="4" t="s">
        <v>20</v>
      </c>
      <c r="U4" s="2" t="s">
        <v>13</v>
      </c>
      <c r="V4" s="2" t="s">
        <v>14</v>
      </c>
      <c r="W4" s="8" t="s">
        <v>13</v>
      </c>
    </row>
    <row r="5" spans="1:23" s="1" customFormat="1" x14ac:dyDescent="0.2">
      <c r="A5" s="5" t="s">
        <v>51</v>
      </c>
      <c r="B5" s="1">
        <v>1899</v>
      </c>
      <c r="C5" s="1" t="s">
        <v>22</v>
      </c>
      <c r="D5" s="1">
        <v>1</v>
      </c>
      <c r="E5" s="5">
        <v>29.36</v>
      </c>
      <c r="F5" s="6">
        <v>29.38</v>
      </c>
      <c r="G5" s="1">
        <v>32.700000000000003</v>
      </c>
      <c r="H5" s="1">
        <v>33.799999999999997</v>
      </c>
      <c r="I5" s="1">
        <v>32.700000000000003</v>
      </c>
      <c r="J5" s="6">
        <v>39.5</v>
      </c>
      <c r="K5" s="1">
        <v>2.9</v>
      </c>
      <c r="L5" s="6">
        <v>3.6</v>
      </c>
      <c r="M5" s="5">
        <v>0.127</v>
      </c>
      <c r="N5" s="6">
        <v>0.127</v>
      </c>
      <c r="O5" s="1">
        <v>69</v>
      </c>
      <c r="P5" s="6">
        <v>66</v>
      </c>
      <c r="Q5" s="1" t="s">
        <v>44</v>
      </c>
      <c r="R5" s="1">
        <v>1</v>
      </c>
      <c r="S5" s="1" t="s">
        <v>24</v>
      </c>
      <c r="T5" s="6">
        <v>1</v>
      </c>
      <c r="U5" s="1">
        <v>3</v>
      </c>
      <c r="V5" s="1">
        <v>0</v>
      </c>
      <c r="W5" s="9" t="s">
        <v>25</v>
      </c>
    </row>
    <row r="6" spans="1:23" s="1" customFormat="1" x14ac:dyDescent="0.2">
      <c r="A6" s="5" t="s">
        <v>51</v>
      </c>
      <c r="B6" s="1">
        <v>1899</v>
      </c>
      <c r="C6" s="1" t="s">
        <v>22</v>
      </c>
      <c r="D6" s="1">
        <v>2</v>
      </c>
      <c r="E6" s="5">
        <v>29.46</v>
      </c>
      <c r="F6" s="6">
        <v>29.57</v>
      </c>
      <c r="G6" s="1">
        <v>32</v>
      </c>
      <c r="H6" s="1">
        <v>32.9</v>
      </c>
      <c r="I6" s="1">
        <v>30.9</v>
      </c>
      <c r="J6" s="6">
        <v>38.700000000000003</v>
      </c>
      <c r="K6" s="1">
        <v>2.2999999999999998</v>
      </c>
      <c r="L6" s="6">
        <v>2.9</v>
      </c>
      <c r="M6" s="5">
        <v>0.13100000000000001</v>
      </c>
      <c r="N6" s="6">
        <v>0.13</v>
      </c>
      <c r="O6" s="1">
        <v>72</v>
      </c>
      <c r="P6" s="6">
        <v>70</v>
      </c>
      <c r="Q6" s="1" t="s">
        <v>24</v>
      </c>
      <c r="R6" s="1">
        <v>1</v>
      </c>
      <c r="S6" s="1" t="s">
        <v>24</v>
      </c>
      <c r="T6" s="6">
        <v>1</v>
      </c>
      <c r="U6" s="1">
        <v>2</v>
      </c>
      <c r="V6" s="1">
        <v>3</v>
      </c>
      <c r="W6" s="9" t="s">
        <v>25</v>
      </c>
    </row>
    <row r="7" spans="1:23" s="1" customFormat="1" x14ac:dyDescent="0.2">
      <c r="A7" s="5" t="s">
        <v>51</v>
      </c>
      <c r="B7" s="1">
        <v>1899</v>
      </c>
      <c r="C7" s="1" t="s">
        <v>22</v>
      </c>
      <c r="D7" s="1">
        <v>3</v>
      </c>
      <c r="E7" s="5">
        <v>29.67</v>
      </c>
      <c r="F7" s="6">
        <v>29.73</v>
      </c>
      <c r="G7" s="1">
        <v>34.9</v>
      </c>
      <c r="H7" s="1">
        <v>33.1</v>
      </c>
      <c r="I7" s="1">
        <v>31.3</v>
      </c>
      <c r="J7" s="6">
        <v>37.1</v>
      </c>
      <c r="K7" s="1">
        <v>2.9</v>
      </c>
      <c r="L7" s="6">
        <v>1</v>
      </c>
      <c r="M7" s="5">
        <v>0.14899999999999999</v>
      </c>
      <c r="N7" s="6">
        <v>0.16800000000000001</v>
      </c>
      <c r="O7" s="1">
        <v>73</v>
      </c>
      <c r="P7" s="6">
        <v>89</v>
      </c>
      <c r="Q7" s="1" t="s">
        <v>44</v>
      </c>
      <c r="R7" s="1">
        <v>1</v>
      </c>
      <c r="S7" s="1" t="s">
        <v>38</v>
      </c>
      <c r="T7" s="6">
        <v>1</v>
      </c>
      <c r="U7" s="1">
        <v>9</v>
      </c>
      <c r="V7" s="1">
        <v>3</v>
      </c>
      <c r="W7" s="9" t="s">
        <v>25</v>
      </c>
    </row>
    <row r="8" spans="1:23" s="1" customFormat="1" x14ac:dyDescent="0.2">
      <c r="A8" s="5" t="s">
        <v>51</v>
      </c>
      <c r="B8" s="1">
        <v>1899</v>
      </c>
      <c r="C8" s="1" t="s">
        <v>22</v>
      </c>
      <c r="D8" s="1">
        <v>4</v>
      </c>
      <c r="E8" s="5">
        <v>29.68</v>
      </c>
      <c r="F8" s="6">
        <v>29.48</v>
      </c>
      <c r="G8" s="1">
        <v>26.9</v>
      </c>
      <c r="H8" s="1">
        <v>32.299999999999997</v>
      </c>
      <c r="I8" s="1">
        <v>26.1</v>
      </c>
      <c r="J8" s="6">
        <v>35.299999999999997</v>
      </c>
      <c r="K8" s="1">
        <v>1.1000000000000001</v>
      </c>
      <c r="L8" s="6">
        <v>0.2</v>
      </c>
      <c r="M8" s="5">
        <v>0.111</v>
      </c>
      <c r="N8" s="6">
        <v>0.18</v>
      </c>
      <c r="O8" s="1">
        <v>77</v>
      </c>
      <c r="P8" s="6">
        <v>98</v>
      </c>
      <c r="Q8" s="1" t="s">
        <v>43</v>
      </c>
      <c r="R8" s="1">
        <v>1</v>
      </c>
      <c r="S8" s="1" t="s">
        <v>43</v>
      </c>
      <c r="T8" s="6">
        <v>1</v>
      </c>
      <c r="U8" s="1">
        <v>4</v>
      </c>
      <c r="V8" s="1">
        <v>10</v>
      </c>
      <c r="W8" s="9" t="s">
        <v>25</v>
      </c>
    </row>
    <row r="9" spans="1:23" s="1" customFormat="1" x14ac:dyDescent="0.2">
      <c r="A9" s="5" t="s">
        <v>51</v>
      </c>
      <c r="B9" s="1">
        <v>1899</v>
      </c>
      <c r="C9" s="1" t="s">
        <v>22</v>
      </c>
      <c r="D9" s="1">
        <v>5</v>
      </c>
      <c r="E9" s="5">
        <v>29.45</v>
      </c>
      <c r="F9" s="6">
        <v>29.64</v>
      </c>
      <c r="G9" s="1">
        <v>32.9</v>
      </c>
      <c r="H9" s="1">
        <v>31.9</v>
      </c>
      <c r="I9" s="1">
        <v>30.9</v>
      </c>
      <c r="J9" s="6">
        <v>37</v>
      </c>
      <c r="K9" s="1">
        <v>2.5</v>
      </c>
      <c r="L9" s="6">
        <v>3.9</v>
      </c>
      <c r="M9" s="5">
        <v>0.13700000000000001</v>
      </c>
      <c r="N9" s="6">
        <v>0.10199999999999999</v>
      </c>
      <c r="O9" s="1">
        <v>73</v>
      </c>
      <c r="P9" s="6">
        <v>57</v>
      </c>
      <c r="Q9" s="1" t="s">
        <v>43</v>
      </c>
      <c r="R9" s="1">
        <v>1</v>
      </c>
      <c r="S9" s="1" t="s">
        <v>43</v>
      </c>
      <c r="T9" s="6">
        <v>2</v>
      </c>
      <c r="U9" s="1">
        <v>9</v>
      </c>
      <c r="V9" s="1">
        <v>0</v>
      </c>
      <c r="W9" s="9">
        <v>7.4999999999999997E-2</v>
      </c>
    </row>
    <row r="10" spans="1:23" s="1" customFormat="1" x14ac:dyDescent="0.2">
      <c r="A10" s="5" t="s">
        <v>51</v>
      </c>
      <c r="B10" s="1">
        <v>1899</v>
      </c>
      <c r="C10" s="1" t="s">
        <v>22</v>
      </c>
      <c r="D10" s="1">
        <v>6</v>
      </c>
      <c r="E10" s="5">
        <v>29.58</v>
      </c>
      <c r="F10" s="6">
        <v>29.43</v>
      </c>
      <c r="G10" s="1">
        <v>31.4</v>
      </c>
      <c r="H10" s="1">
        <v>34.1</v>
      </c>
      <c r="I10" s="1">
        <v>30.4</v>
      </c>
      <c r="J10" s="6">
        <v>36.1</v>
      </c>
      <c r="K10" s="1">
        <v>0.4</v>
      </c>
      <c r="L10" s="6">
        <v>1.4</v>
      </c>
      <c r="M10" s="5">
        <v>0.16700000000000001</v>
      </c>
      <c r="N10" s="6">
        <v>0.16900000000000001</v>
      </c>
      <c r="O10" s="1">
        <v>95</v>
      </c>
      <c r="P10" s="6">
        <v>85</v>
      </c>
      <c r="Q10" s="1" t="s">
        <v>43</v>
      </c>
      <c r="R10" s="1">
        <v>2</v>
      </c>
      <c r="S10" s="1" t="s">
        <v>43</v>
      </c>
      <c r="T10" s="6">
        <v>2</v>
      </c>
      <c r="U10" s="1">
        <v>10</v>
      </c>
      <c r="V10" s="1">
        <v>10</v>
      </c>
      <c r="W10" s="9">
        <v>0.107</v>
      </c>
    </row>
    <row r="11" spans="1:23" s="1" customFormat="1" x14ac:dyDescent="0.2">
      <c r="A11" s="5" t="s">
        <v>51</v>
      </c>
      <c r="B11" s="1">
        <v>1899</v>
      </c>
      <c r="C11" s="1" t="s">
        <v>22</v>
      </c>
      <c r="D11" s="1">
        <v>7</v>
      </c>
      <c r="E11" s="5">
        <v>29.08</v>
      </c>
      <c r="F11" s="6">
        <v>29.02</v>
      </c>
      <c r="G11" s="1">
        <v>33.9</v>
      </c>
      <c r="H11" s="1">
        <v>39.799999999999997</v>
      </c>
      <c r="I11" s="1">
        <v>31.3</v>
      </c>
      <c r="J11" s="6">
        <v>42.8</v>
      </c>
      <c r="K11" s="1">
        <v>0.6</v>
      </c>
      <c r="L11" s="6">
        <v>0.6</v>
      </c>
      <c r="M11" s="5">
        <v>0.183</v>
      </c>
      <c r="N11" s="6">
        <v>0.23200000000000001</v>
      </c>
      <c r="O11" s="1">
        <v>93</v>
      </c>
      <c r="P11" s="6">
        <v>96</v>
      </c>
      <c r="Q11" s="1" t="s">
        <v>43</v>
      </c>
      <c r="R11" s="1">
        <v>2</v>
      </c>
      <c r="S11" s="1" t="s">
        <v>43</v>
      </c>
      <c r="T11" s="6">
        <v>1</v>
      </c>
      <c r="U11" s="1">
        <v>10</v>
      </c>
      <c r="V11" s="1">
        <v>10</v>
      </c>
      <c r="W11" s="9">
        <v>0.13600000000000001</v>
      </c>
    </row>
    <row r="12" spans="1:23" s="1" customFormat="1" x14ac:dyDescent="0.2">
      <c r="A12" s="5" t="s">
        <v>51</v>
      </c>
      <c r="B12" s="1">
        <v>1899</v>
      </c>
      <c r="C12" s="1" t="s">
        <v>22</v>
      </c>
      <c r="D12" s="1">
        <v>8</v>
      </c>
      <c r="E12" s="5">
        <v>28.91</v>
      </c>
      <c r="F12" s="6">
        <v>28.69</v>
      </c>
      <c r="G12" s="1">
        <v>45.7</v>
      </c>
      <c r="H12" s="1">
        <v>45.1</v>
      </c>
      <c r="I12" s="1">
        <v>39.6</v>
      </c>
      <c r="J12" s="6">
        <v>47.9</v>
      </c>
      <c r="K12" s="1">
        <v>2.7</v>
      </c>
      <c r="L12" s="6">
        <v>1.3</v>
      </c>
      <c r="M12" s="5">
        <v>0.247</v>
      </c>
      <c r="N12" s="6">
        <v>0.27</v>
      </c>
      <c r="O12" s="1">
        <v>81</v>
      </c>
      <c r="P12" s="6">
        <v>90</v>
      </c>
      <c r="Q12" s="1" t="s">
        <v>38</v>
      </c>
      <c r="R12" s="1">
        <v>2</v>
      </c>
      <c r="S12" s="1" t="s">
        <v>38</v>
      </c>
      <c r="T12" s="6">
        <v>2</v>
      </c>
      <c r="U12" s="1">
        <v>10</v>
      </c>
      <c r="V12" s="1">
        <v>8</v>
      </c>
      <c r="W12" s="9">
        <v>0.49099999999999999</v>
      </c>
    </row>
    <row r="13" spans="1:23" s="1" customFormat="1" x14ac:dyDescent="0.2">
      <c r="A13" s="5" t="s">
        <v>51</v>
      </c>
      <c r="B13" s="1">
        <v>1899</v>
      </c>
      <c r="C13" s="1" t="s">
        <v>22</v>
      </c>
      <c r="D13" s="1">
        <v>9</v>
      </c>
      <c r="E13" s="5">
        <v>28.92</v>
      </c>
      <c r="F13" s="6">
        <v>28.66</v>
      </c>
      <c r="G13" s="1">
        <v>41.4</v>
      </c>
      <c r="H13" s="1">
        <v>50.2</v>
      </c>
      <c r="I13" s="1">
        <v>37.9</v>
      </c>
      <c r="J13" s="6">
        <v>50.4</v>
      </c>
      <c r="K13" s="1">
        <v>1</v>
      </c>
      <c r="L13" s="6">
        <v>2</v>
      </c>
      <c r="M13" s="5">
        <v>0.24</v>
      </c>
      <c r="N13" s="6">
        <v>0.312</v>
      </c>
      <c r="O13" s="1">
        <v>92</v>
      </c>
      <c r="P13" s="6">
        <v>86</v>
      </c>
      <c r="Q13" s="1" t="s">
        <v>35</v>
      </c>
      <c r="R13" s="1">
        <v>2</v>
      </c>
      <c r="S13" s="1" t="s">
        <v>38</v>
      </c>
      <c r="T13" s="6">
        <v>4</v>
      </c>
      <c r="U13" s="1">
        <v>7</v>
      </c>
      <c r="V13" s="1">
        <v>10</v>
      </c>
      <c r="W13" s="9">
        <v>0.17100000000000001</v>
      </c>
    </row>
    <row r="14" spans="1:23" s="1" customFormat="1" x14ac:dyDescent="0.2">
      <c r="A14" s="5" t="s">
        <v>51</v>
      </c>
      <c r="B14" s="1">
        <v>1899</v>
      </c>
      <c r="C14" s="1" t="s">
        <v>22</v>
      </c>
      <c r="D14" s="1">
        <v>10</v>
      </c>
      <c r="E14" s="5">
        <v>28.92</v>
      </c>
      <c r="F14" s="6">
        <v>28.89</v>
      </c>
      <c r="G14" s="1">
        <v>44.9</v>
      </c>
      <c r="H14" s="1">
        <v>48.6</v>
      </c>
      <c r="I14" s="1">
        <v>43.1</v>
      </c>
      <c r="J14" s="6">
        <v>50.3</v>
      </c>
      <c r="K14" s="1">
        <v>1.6</v>
      </c>
      <c r="L14" s="6">
        <v>2.4</v>
      </c>
      <c r="M14" s="5">
        <v>0.26100000000000001</v>
      </c>
      <c r="N14" s="6">
        <v>0.28499999999999998</v>
      </c>
      <c r="O14" s="1">
        <v>88</v>
      </c>
      <c r="P14" s="6">
        <v>83</v>
      </c>
      <c r="Q14" s="1" t="s">
        <v>36</v>
      </c>
      <c r="R14" s="1">
        <v>0</v>
      </c>
      <c r="S14" s="1" t="s">
        <v>44</v>
      </c>
      <c r="T14" s="6">
        <v>2</v>
      </c>
      <c r="U14" s="1">
        <v>10</v>
      </c>
      <c r="V14" s="1">
        <v>8</v>
      </c>
      <c r="W14" s="9">
        <v>0.34</v>
      </c>
    </row>
    <row r="15" spans="1:23" s="1" customFormat="1" x14ac:dyDescent="0.2">
      <c r="A15" s="5" t="s">
        <v>51</v>
      </c>
      <c r="B15" s="1">
        <v>1899</v>
      </c>
      <c r="C15" s="1" t="s">
        <v>22</v>
      </c>
      <c r="D15" s="1">
        <v>11</v>
      </c>
      <c r="E15" s="5">
        <v>29</v>
      </c>
      <c r="F15" s="6">
        <v>28.72</v>
      </c>
      <c r="G15" s="1">
        <v>47.3</v>
      </c>
      <c r="H15" s="1">
        <v>48.1</v>
      </c>
      <c r="I15" s="1">
        <v>46.4</v>
      </c>
      <c r="J15" s="6">
        <v>50.4</v>
      </c>
      <c r="K15" s="1">
        <v>1.5</v>
      </c>
      <c r="L15" s="6">
        <v>2.1</v>
      </c>
      <c r="M15" s="5">
        <v>0.28899999999999998</v>
      </c>
      <c r="N15" s="6">
        <v>0.28399999999999997</v>
      </c>
      <c r="O15" s="1">
        <v>90</v>
      </c>
      <c r="P15" s="6">
        <v>85</v>
      </c>
      <c r="Q15" s="1" t="s">
        <v>38</v>
      </c>
      <c r="R15" s="1">
        <v>2</v>
      </c>
      <c r="S15" s="1" t="s">
        <v>31</v>
      </c>
      <c r="T15" s="6">
        <v>2</v>
      </c>
      <c r="U15" s="1">
        <v>10</v>
      </c>
      <c r="V15" s="1">
        <v>10</v>
      </c>
      <c r="W15" s="9">
        <v>0.02</v>
      </c>
    </row>
    <row r="16" spans="1:23" s="1" customFormat="1" x14ac:dyDescent="0.2">
      <c r="A16" s="5" t="s">
        <v>51</v>
      </c>
      <c r="B16" s="1">
        <v>1899</v>
      </c>
      <c r="C16" s="1" t="s">
        <v>22</v>
      </c>
      <c r="D16" s="1">
        <v>12</v>
      </c>
      <c r="E16" s="5">
        <v>28.7</v>
      </c>
      <c r="F16" s="6">
        <v>28.94</v>
      </c>
      <c r="G16" s="1">
        <v>42.7</v>
      </c>
      <c r="H16" s="1">
        <v>41.2</v>
      </c>
      <c r="I16" s="1">
        <v>41.2</v>
      </c>
      <c r="J16" s="6">
        <v>48.7</v>
      </c>
      <c r="K16" s="1">
        <v>2.2999999999999998</v>
      </c>
      <c r="L16" s="6">
        <v>1.2</v>
      </c>
      <c r="M16" s="5">
        <v>0.22600000000000001</v>
      </c>
      <c r="N16" s="6">
        <v>0.23300000000000001</v>
      </c>
      <c r="O16" s="1">
        <v>83</v>
      </c>
      <c r="P16" s="6">
        <v>91</v>
      </c>
      <c r="Q16" s="1" t="s">
        <v>38</v>
      </c>
      <c r="R16" s="1">
        <v>1</v>
      </c>
      <c r="S16" s="1" t="s">
        <v>44</v>
      </c>
      <c r="T16" s="6">
        <v>1</v>
      </c>
      <c r="U16" s="1">
        <v>10</v>
      </c>
      <c r="V16" s="1">
        <v>1</v>
      </c>
      <c r="W16" s="9">
        <v>0.17699999999999999</v>
      </c>
    </row>
    <row r="17" spans="1:23" s="1" customFormat="1" x14ac:dyDescent="0.2">
      <c r="A17" s="5" t="s">
        <v>51</v>
      </c>
      <c r="B17" s="1">
        <v>1899</v>
      </c>
      <c r="C17" s="1" t="s">
        <v>22</v>
      </c>
      <c r="D17" s="1">
        <v>13</v>
      </c>
      <c r="E17" s="5">
        <v>28.72</v>
      </c>
      <c r="F17" s="6">
        <v>28.64</v>
      </c>
      <c r="G17" s="1">
        <v>40.200000000000003</v>
      </c>
      <c r="H17" s="1">
        <v>42.8</v>
      </c>
      <c r="I17" s="1">
        <v>38.799999999999997</v>
      </c>
      <c r="J17" s="6">
        <v>48.1</v>
      </c>
      <c r="K17" s="1">
        <v>0.7</v>
      </c>
      <c r="L17" s="6">
        <v>2.9</v>
      </c>
      <c r="M17" s="5">
        <v>0.23499999999999999</v>
      </c>
      <c r="N17" s="6">
        <v>0.215</v>
      </c>
      <c r="O17" s="1">
        <v>94</v>
      </c>
      <c r="P17" s="6">
        <v>78</v>
      </c>
      <c r="Q17" s="1" t="s">
        <v>43</v>
      </c>
      <c r="R17" s="1">
        <v>1</v>
      </c>
      <c r="S17" s="1" t="s">
        <v>38</v>
      </c>
      <c r="T17" s="6">
        <v>1</v>
      </c>
      <c r="U17" s="1">
        <v>10</v>
      </c>
      <c r="V17" s="1">
        <v>8</v>
      </c>
      <c r="W17" s="9">
        <v>7.0000000000000007E-2</v>
      </c>
    </row>
    <row r="18" spans="1:23" s="1" customFormat="1" x14ac:dyDescent="0.2">
      <c r="A18" s="5" t="s">
        <v>51</v>
      </c>
      <c r="B18" s="1">
        <v>1899</v>
      </c>
      <c r="C18" s="1" t="s">
        <v>22</v>
      </c>
      <c r="D18" s="1">
        <v>14</v>
      </c>
      <c r="E18" s="5">
        <v>28.86</v>
      </c>
      <c r="F18" s="6">
        <v>29.18</v>
      </c>
      <c r="G18" s="1">
        <v>40.299999999999997</v>
      </c>
      <c r="H18" s="1">
        <v>42.9</v>
      </c>
      <c r="I18" s="1">
        <v>37.4</v>
      </c>
      <c r="J18" s="6">
        <v>46.1</v>
      </c>
      <c r="K18" s="1">
        <v>2.2999999999999998</v>
      </c>
      <c r="L18" s="6">
        <v>2.2999999999999998</v>
      </c>
      <c r="M18" s="5">
        <v>0.20399999999999999</v>
      </c>
      <c r="N18" s="6">
        <v>0.22800000000000001</v>
      </c>
      <c r="O18" s="1">
        <v>82</v>
      </c>
      <c r="P18" s="6">
        <v>83</v>
      </c>
      <c r="Q18" s="1" t="s">
        <v>35</v>
      </c>
      <c r="R18" s="1">
        <v>2</v>
      </c>
      <c r="S18" s="1" t="s">
        <v>35</v>
      </c>
      <c r="T18" s="6">
        <v>3</v>
      </c>
      <c r="U18" s="1">
        <v>9</v>
      </c>
      <c r="V18" s="1">
        <v>3</v>
      </c>
      <c r="W18" s="9" t="s">
        <v>25</v>
      </c>
    </row>
    <row r="19" spans="1:23" s="1" customFormat="1" x14ac:dyDescent="0.2">
      <c r="A19" s="5" t="s">
        <v>51</v>
      </c>
      <c r="B19" s="1">
        <v>1899</v>
      </c>
      <c r="C19" s="1" t="s">
        <v>22</v>
      </c>
      <c r="D19" s="1">
        <v>15</v>
      </c>
      <c r="E19" s="5">
        <v>29.35</v>
      </c>
      <c r="F19" s="6">
        <v>29.5</v>
      </c>
      <c r="G19" s="1">
        <v>42.6</v>
      </c>
      <c r="H19" s="1">
        <v>38.700000000000003</v>
      </c>
      <c r="I19" s="1">
        <v>38.700000000000003</v>
      </c>
      <c r="J19" s="6">
        <v>45.6</v>
      </c>
      <c r="K19" s="1">
        <v>2.1</v>
      </c>
      <c r="L19" s="6">
        <v>1.6</v>
      </c>
      <c r="M19" s="5">
        <v>0.22900000000000001</v>
      </c>
      <c r="N19" s="6">
        <v>0.20399999999999999</v>
      </c>
      <c r="O19" s="1">
        <v>85</v>
      </c>
      <c r="P19" s="6">
        <v>87</v>
      </c>
      <c r="Q19" s="1" t="s">
        <v>35</v>
      </c>
      <c r="R19" s="1">
        <v>3</v>
      </c>
      <c r="S19" s="1" t="s">
        <v>38</v>
      </c>
      <c r="T19" s="6">
        <v>1</v>
      </c>
      <c r="U19" s="1">
        <v>7</v>
      </c>
      <c r="V19" s="1">
        <v>0</v>
      </c>
      <c r="W19" s="9">
        <v>2.3E-2</v>
      </c>
    </row>
    <row r="20" spans="1:23" s="1" customFormat="1" x14ac:dyDescent="0.2">
      <c r="A20" s="5" t="s">
        <v>51</v>
      </c>
      <c r="B20" s="1">
        <v>1899</v>
      </c>
      <c r="C20" s="1" t="s">
        <v>22</v>
      </c>
      <c r="D20" s="1">
        <v>16</v>
      </c>
      <c r="E20" s="5">
        <v>29.47</v>
      </c>
      <c r="F20" s="6">
        <v>29.52</v>
      </c>
      <c r="G20" s="1">
        <v>40.299999999999997</v>
      </c>
      <c r="H20" s="1">
        <v>46.3</v>
      </c>
      <c r="I20" s="1">
        <v>36.299999999999997</v>
      </c>
      <c r="J20" s="6">
        <v>46.5</v>
      </c>
      <c r="K20" s="1">
        <v>2.2999999999999998</v>
      </c>
      <c r="L20" s="6">
        <v>1.8</v>
      </c>
      <c r="M20" s="5">
        <v>0.20399999999999999</v>
      </c>
      <c r="N20" s="6">
        <v>0.27200000000000002</v>
      </c>
      <c r="O20" s="1">
        <v>82</v>
      </c>
      <c r="P20" s="6">
        <v>88</v>
      </c>
      <c r="Q20" s="1" t="s">
        <v>38</v>
      </c>
      <c r="R20" s="1">
        <v>2</v>
      </c>
      <c r="S20" s="1" t="s">
        <v>38</v>
      </c>
      <c r="T20" s="6">
        <v>2</v>
      </c>
      <c r="U20" s="1">
        <v>10</v>
      </c>
      <c r="V20" s="1">
        <v>10</v>
      </c>
      <c r="W20" s="9">
        <v>7.2999999999999995E-2</v>
      </c>
    </row>
    <row r="21" spans="1:23" s="1" customFormat="1" x14ac:dyDescent="0.2">
      <c r="A21" s="5" t="s">
        <v>51</v>
      </c>
      <c r="B21" s="1">
        <v>1899</v>
      </c>
      <c r="C21" s="1" t="s">
        <v>22</v>
      </c>
      <c r="D21" s="1">
        <v>17</v>
      </c>
      <c r="E21" s="5">
        <v>29.62</v>
      </c>
      <c r="F21" s="6">
        <v>29.75</v>
      </c>
      <c r="G21" s="1">
        <v>46.1</v>
      </c>
      <c r="H21" s="1">
        <v>46.7</v>
      </c>
      <c r="I21" s="1">
        <v>44</v>
      </c>
      <c r="J21" s="6">
        <v>49</v>
      </c>
      <c r="K21" s="1">
        <v>1.9</v>
      </c>
      <c r="L21" s="6">
        <v>1</v>
      </c>
      <c r="M21" s="5">
        <v>0.26800000000000002</v>
      </c>
      <c r="N21" s="6">
        <v>0.29599999999999999</v>
      </c>
      <c r="O21" s="1">
        <v>86</v>
      </c>
      <c r="P21" s="6">
        <v>93</v>
      </c>
      <c r="Q21" s="1" t="s">
        <v>38</v>
      </c>
      <c r="R21" s="1">
        <v>2</v>
      </c>
      <c r="S21" s="1" t="s">
        <v>38</v>
      </c>
      <c r="T21" s="6">
        <v>1</v>
      </c>
      <c r="U21" s="1">
        <v>10</v>
      </c>
      <c r="V21" s="1">
        <v>10</v>
      </c>
      <c r="W21" s="9">
        <v>0.33800000000000002</v>
      </c>
    </row>
    <row r="22" spans="1:23" s="1" customFormat="1" x14ac:dyDescent="0.2">
      <c r="A22" s="5" t="s">
        <v>51</v>
      </c>
      <c r="B22" s="1">
        <v>1899</v>
      </c>
      <c r="C22" s="1" t="s">
        <v>22</v>
      </c>
      <c r="D22" s="1">
        <v>18</v>
      </c>
      <c r="E22" s="5">
        <v>29.73</v>
      </c>
      <c r="F22" s="6">
        <v>29.83</v>
      </c>
      <c r="G22" s="1">
        <v>44.9</v>
      </c>
      <c r="H22" s="1">
        <v>42.8</v>
      </c>
      <c r="I22" s="1">
        <v>42.7</v>
      </c>
      <c r="J22" s="6">
        <v>48.1</v>
      </c>
      <c r="K22" s="1">
        <v>0.5</v>
      </c>
      <c r="L22" s="6">
        <v>0.5</v>
      </c>
      <c r="M22" s="5">
        <v>0.28499999999999998</v>
      </c>
      <c r="N22" s="6">
        <v>0.26400000000000001</v>
      </c>
      <c r="O22" s="1">
        <v>96</v>
      </c>
      <c r="P22" s="6">
        <v>96</v>
      </c>
      <c r="Q22" s="1" t="s">
        <v>43</v>
      </c>
      <c r="R22" s="1">
        <v>1</v>
      </c>
      <c r="S22" s="1" t="s">
        <v>43</v>
      </c>
      <c r="T22" s="6">
        <v>1</v>
      </c>
      <c r="U22" s="1">
        <v>10</v>
      </c>
      <c r="V22" s="1">
        <v>10</v>
      </c>
      <c r="W22" s="9">
        <v>7.6999999999999999E-2</v>
      </c>
    </row>
    <row r="23" spans="1:23" s="1" customFormat="1" x14ac:dyDescent="0.2">
      <c r="A23" s="5" t="s">
        <v>51</v>
      </c>
      <c r="B23" s="1">
        <v>1899</v>
      </c>
      <c r="C23" s="1" t="s">
        <v>22</v>
      </c>
      <c r="D23" s="1">
        <v>19</v>
      </c>
      <c r="E23" s="5">
        <v>29.97</v>
      </c>
      <c r="F23" s="6">
        <v>30.11</v>
      </c>
      <c r="G23" s="1">
        <v>40.5</v>
      </c>
      <c r="H23" s="1">
        <v>40.5</v>
      </c>
      <c r="I23" s="1">
        <v>40.200000000000003</v>
      </c>
      <c r="J23" s="6">
        <v>44.1</v>
      </c>
      <c r="K23" s="1">
        <v>0.4</v>
      </c>
      <c r="L23" s="6">
        <v>1</v>
      </c>
      <c r="M23" s="5">
        <v>0.24299999999999999</v>
      </c>
      <c r="N23" s="6">
        <v>0.23100000000000001</v>
      </c>
      <c r="O23" s="1">
        <v>97</v>
      </c>
      <c r="P23" s="6">
        <v>92</v>
      </c>
      <c r="Q23" s="1" t="s">
        <v>36</v>
      </c>
      <c r="R23" s="1">
        <v>0</v>
      </c>
      <c r="S23" s="1" t="s">
        <v>36</v>
      </c>
      <c r="T23" s="6">
        <v>0</v>
      </c>
      <c r="U23" s="1">
        <v>10</v>
      </c>
      <c r="V23" s="1">
        <v>3</v>
      </c>
      <c r="W23" s="9">
        <v>0.01</v>
      </c>
    </row>
    <row r="24" spans="1:23" s="1" customFormat="1" x14ac:dyDescent="0.2">
      <c r="A24" s="5" t="s">
        <v>51</v>
      </c>
      <c r="B24" s="1">
        <v>1899</v>
      </c>
      <c r="C24" s="1" t="s">
        <v>22</v>
      </c>
      <c r="D24" s="1">
        <v>20</v>
      </c>
      <c r="E24" s="5">
        <v>30.18</v>
      </c>
      <c r="F24" s="6">
        <v>30.14</v>
      </c>
      <c r="G24" s="1">
        <v>36.1</v>
      </c>
      <c r="H24" s="1">
        <v>39.799999999999997</v>
      </c>
      <c r="I24" s="1">
        <v>31.9</v>
      </c>
      <c r="J24" s="6">
        <v>42.8</v>
      </c>
      <c r="K24" s="1">
        <v>1.1000000000000001</v>
      </c>
      <c r="L24" s="6">
        <v>2.4</v>
      </c>
      <c r="M24" s="5">
        <v>0.192</v>
      </c>
      <c r="N24" s="6">
        <v>0.19900000000000001</v>
      </c>
      <c r="O24" s="1">
        <v>90</v>
      </c>
      <c r="P24" s="6">
        <v>81</v>
      </c>
      <c r="Q24" s="1" t="s">
        <v>47</v>
      </c>
      <c r="R24" s="1">
        <v>1</v>
      </c>
      <c r="S24" s="1" t="s">
        <v>43</v>
      </c>
      <c r="T24" s="6">
        <v>2</v>
      </c>
      <c r="U24" s="1">
        <v>1</v>
      </c>
      <c r="V24" s="1">
        <v>10</v>
      </c>
      <c r="W24" s="9" t="s">
        <v>25</v>
      </c>
    </row>
    <row r="25" spans="1:23" s="1" customFormat="1" x14ac:dyDescent="0.2">
      <c r="A25" s="5" t="s">
        <v>51</v>
      </c>
      <c r="B25" s="1">
        <v>1899</v>
      </c>
      <c r="C25" s="1" t="s">
        <v>22</v>
      </c>
      <c r="D25" s="1">
        <v>21</v>
      </c>
      <c r="E25" s="5">
        <v>30.14</v>
      </c>
      <c r="F25" s="6">
        <v>30.14</v>
      </c>
      <c r="G25" s="1">
        <v>40.4</v>
      </c>
      <c r="H25" s="1">
        <v>39.6</v>
      </c>
      <c r="I25" s="1">
        <v>39.299999999999997</v>
      </c>
      <c r="J25" s="6">
        <v>49.1</v>
      </c>
      <c r="K25" s="1">
        <v>2.4</v>
      </c>
      <c r="L25" s="6">
        <v>2.8</v>
      </c>
      <c r="M25" s="5">
        <v>0.20300000000000001</v>
      </c>
      <c r="N25" s="6">
        <v>0.19</v>
      </c>
      <c r="O25" s="1">
        <v>81</v>
      </c>
      <c r="P25" s="6">
        <v>78</v>
      </c>
      <c r="Q25" s="1" t="s">
        <v>43</v>
      </c>
      <c r="R25" s="1">
        <v>1</v>
      </c>
      <c r="S25" s="1" t="s">
        <v>43</v>
      </c>
      <c r="T25" s="6">
        <v>1</v>
      </c>
      <c r="U25" s="1">
        <v>10</v>
      </c>
      <c r="V25" s="1">
        <v>8</v>
      </c>
      <c r="W25" s="9" t="s">
        <v>25</v>
      </c>
    </row>
    <row r="26" spans="1:23" s="1" customFormat="1" x14ac:dyDescent="0.2">
      <c r="A26" s="5" t="s">
        <v>51</v>
      </c>
      <c r="B26" s="1">
        <v>1899</v>
      </c>
      <c r="C26" s="1" t="s">
        <v>22</v>
      </c>
      <c r="D26" s="1">
        <v>22</v>
      </c>
      <c r="E26" s="5">
        <v>30.13</v>
      </c>
      <c r="F26" s="6">
        <v>30.07</v>
      </c>
      <c r="G26" s="1">
        <v>34.700000000000003</v>
      </c>
      <c r="H26" s="1">
        <v>37.9</v>
      </c>
      <c r="I26" s="1">
        <v>32.299999999999997</v>
      </c>
      <c r="J26" s="6">
        <v>44.2</v>
      </c>
      <c r="K26" s="1">
        <v>2.5</v>
      </c>
      <c r="L26" s="6">
        <v>3.9</v>
      </c>
      <c r="M26" s="5">
        <v>0.154</v>
      </c>
      <c r="N26" s="6">
        <v>0.158</v>
      </c>
      <c r="O26" s="1">
        <v>76</v>
      </c>
      <c r="P26" s="6">
        <v>69</v>
      </c>
      <c r="Q26" s="1" t="s">
        <v>43</v>
      </c>
      <c r="R26" s="1">
        <v>1</v>
      </c>
      <c r="S26" s="1" t="s">
        <v>47</v>
      </c>
      <c r="T26" s="6">
        <v>1</v>
      </c>
      <c r="U26" s="1">
        <v>8</v>
      </c>
      <c r="V26" s="1">
        <v>10</v>
      </c>
      <c r="W26" s="9" t="s">
        <v>25</v>
      </c>
    </row>
    <row r="27" spans="1:23" s="1" customFormat="1" x14ac:dyDescent="0.2">
      <c r="A27" s="5" t="s">
        <v>51</v>
      </c>
      <c r="B27" s="1">
        <v>1899</v>
      </c>
      <c r="C27" s="1" t="s">
        <v>22</v>
      </c>
      <c r="D27" s="1">
        <v>23</v>
      </c>
      <c r="E27" s="5">
        <v>30.01</v>
      </c>
      <c r="F27" s="6">
        <v>30.01</v>
      </c>
      <c r="G27" s="1">
        <v>32.1</v>
      </c>
      <c r="H27" s="1">
        <v>37.6</v>
      </c>
      <c r="I27" s="1">
        <v>30.4</v>
      </c>
      <c r="J27" s="6">
        <v>45.5</v>
      </c>
      <c r="K27" s="1">
        <v>1.9</v>
      </c>
      <c r="L27" s="6">
        <v>2.2999999999999998</v>
      </c>
      <c r="M27" s="5">
        <v>0.14000000000000001</v>
      </c>
      <c r="N27" s="6">
        <v>0.182</v>
      </c>
      <c r="O27" s="1">
        <v>76</v>
      </c>
      <c r="P27" s="6">
        <v>80</v>
      </c>
      <c r="Q27" s="1" t="s">
        <v>36</v>
      </c>
      <c r="R27" s="1">
        <v>0</v>
      </c>
      <c r="S27" s="1" t="s">
        <v>38</v>
      </c>
      <c r="T27" s="6">
        <v>1</v>
      </c>
      <c r="U27" s="1">
        <v>9</v>
      </c>
      <c r="V27" s="1">
        <v>10</v>
      </c>
      <c r="W27" s="9" t="s">
        <v>25</v>
      </c>
    </row>
    <row r="28" spans="1:23" s="1" customFormat="1" x14ac:dyDescent="0.2">
      <c r="A28" s="5" t="s">
        <v>51</v>
      </c>
      <c r="B28" s="1">
        <v>1899</v>
      </c>
      <c r="C28" s="1" t="s">
        <v>22</v>
      </c>
      <c r="D28" s="1">
        <v>24</v>
      </c>
      <c r="E28" s="5">
        <v>30.07</v>
      </c>
      <c r="F28" s="6">
        <v>30.08</v>
      </c>
      <c r="G28" s="1">
        <v>37.9</v>
      </c>
      <c r="H28" s="1">
        <v>37.9</v>
      </c>
      <c r="I28" s="1">
        <v>35.1</v>
      </c>
      <c r="J28" s="6">
        <v>43.6</v>
      </c>
      <c r="K28" s="1">
        <v>1.1000000000000001</v>
      </c>
      <c r="L28" s="6">
        <v>1.2</v>
      </c>
      <c r="M28" s="5">
        <v>0.20699999999999999</v>
      </c>
      <c r="N28" s="6">
        <v>0.20499999999999999</v>
      </c>
      <c r="O28" s="1">
        <v>91</v>
      </c>
      <c r="P28" s="6">
        <v>90</v>
      </c>
      <c r="Q28" s="1" t="s">
        <v>36</v>
      </c>
      <c r="R28" s="1">
        <v>0</v>
      </c>
      <c r="S28" s="1" t="s">
        <v>43</v>
      </c>
      <c r="T28" s="6">
        <v>1</v>
      </c>
      <c r="U28" s="1">
        <v>10</v>
      </c>
      <c r="V28" s="1">
        <v>5</v>
      </c>
      <c r="W28" s="9" t="s">
        <v>25</v>
      </c>
    </row>
    <row r="29" spans="1:23" s="1" customFormat="1" x14ac:dyDescent="0.2">
      <c r="A29" s="5" t="s">
        <v>51</v>
      </c>
      <c r="B29" s="1">
        <v>1899</v>
      </c>
      <c r="C29" s="1" t="s">
        <v>22</v>
      </c>
      <c r="D29" s="1">
        <v>25</v>
      </c>
      <c r="E29" s="5">
        <v>30.12</v>
      </c>
      <c r="F29" s="6">
        <v>30.15</v>
      </c>
      <c r="G29" s="1">
        <v>34</v>
      </c>
      <c r="H29" s="1">
        <v>36</v>
      </c>
      <c r="I29" s="1">
        <v>33.299999999999997</v>
      </c>
      <c r="J29" s="6">
        <v>41.3</v>
      </c>
      <c r="K29" s="1">
        <v>1.2</v>
      </c>
      <c r="L29" s="6">
        <v>1.4</v>
      </c>
      <c r="M29" s="5">
        <v>0.17199999999999999</v>
      </c>
      <c r="N29" s="6">
        <v>0.186</v>
      </c>
      <c r="O29" s="1">
        <v>87</v>
      </c>
      <c r="P29" s="6">
        <v>87</v>
      </c>
      <c r="Q29" s="1" t="s">
        <v>43</v>
      </c>
      <c r="R29" s="1">
        <v>1</v>
      </c>
      <c r="S29" s="1" t="s">
        <v>43</v>
      </c>
      <c r="T29" s="6">
        <v>1</v>
      </c>
      <c r="U29" s="1">
        <v>8</v>
      </c>
      <c r="V29" s="1">
        <v>5</v>
      </c>
      <c r="W29" s="9" t="s">
        <v>25</v>
      </c>
    </row>
    <row r="30" spans="1:23" s="1" customFormat="1" x14ac:dyDescent="0.2">
      <c r="A30" s="5" t="s">
        <v>51</v>
      </c>
      <c r="B30" s="1">
        <v>1899</v>
      </c>
      <c r="C30" s="1" t="s">
        <v>22</v>
      </c>
      <c r="D30" s="1">
        <v>26</v>
      </c>
      <c r="E30" s="5">
        <v>30.17</v>
      </c>
      <c r="F30" s="6">
        <v>30.19</v>
      </c>
      <c r="G30" s="1">
        <v>28.2</v>
      </c>
      <c r="H30" s="1">
        <v>29.4</v>
      </c>
      <c r="I30" s="1">
        <v>25.4</v>
      </c>
      <c r="J30" s="6">
        <v>36.5</v>
      </c>
      <c r="K30" s="1">
        <v>0</v>
      </c>
      <c r="L30" s="6">
        <v>0</v>
      </c>
      <c r="M30" s="5">
        <v>0.154</v>
      </c>
      <c r="N30" s="6">
        <v>0.16300000000000001</v>
      </c>
      <c r="O30" s="1">
        <v>100</v>
      </c>
      <c r="P30" s="6">
        <v>100</v>
      </c>
      <c r="Q30" s="1" t="s">
        <v>36</v>
      </c>
      <c r="R30" s="1">
        <v>0</v>
      </c>
      <c r="S30" s="1" t="s">
        <v>36</v>
      </c>
      <c r="T30" s="6">
        <v>0</v>
      </c>
      <c r="U30" s="1">
        <v>10</v>
      </c>
      <c r="V30" s="1">
        <v>10</v>
      </c>
      <c r="W30" s="9" t="s">
        <v>25</v>
      </c>
    </row>
    <row r="31" spans="1:23" s="1" customFormat="1" x14ac:dyDescent="0.2">
      <c r="A31" s="5" t="s">
        <v>51</v>
      </c>
      <c r="B31" s="1">
        <v>1899</v>
      </c>
      <c r="C31" s="1" t="s">
        <v>22</v>
      </c>
      <c r="D31" s="1">
        <v>27</v>
      </c>
      <c r="E31" s="5">
        <v>30.26</v>
      </c>
      <c r="F31" s="6">
        <v>30.29</v>
      </c>
      <c r="G31" s="1">
        <v>26.3</v>
      </c>
      <c r="H31" s="1">
        <v>36.9</v>
      </c>
      <c r="I31" s="1">
        <v>26.1</v>
      </c>
      <c r="J31" s="6">
        <v>42.7</v>
      </c>
      <c r="K31" s="1">
        <v>0</v>
      </c>
      <c r="L31" s="6">
        <v>1.4</v>
      </c>
      <c r="M31" s="5">
        <v>0.14299999999999999</v>
      </c>
      <c r="N31" s="6">
        <v>0.193</v>
      </c>
      <c r="O31" s="1">
        <v>100</v>
      </c>
      <c r="P31" s="6">
        <v>89</v>
      </c>
      <c r="Q31" s="1" t="s">
        <v>36</v>
      </c>
      <c r="R31" s="1">
        <v>0</v>
      </c>
      <c r="S31" s="1" t="s">
        <v>35</v>
      </c>
      <c r="T31" s="6">
        <v>1</v>
      </c>
      <c r="U31" s="1">
        <v>10</v>
      </c>
      <c r="V31" s="1">
        <v>4</v>
      </c>
      <c r="W31" s="9" t="s">
        <v>25</v>
      </c>
    </row>
    <row r="32" spans="1:23" s="1" customFormat="1" x14ac:dyDescent="0.2">
      <c r="A32" s="5" t="s">
        <v>51</v>
      </c>
      <c r="B32" s="1">
        <v>1899</v>
      </c>
      <c r="C32" s="1" t="s">
        <v>22</v>
      </c>
      <c r="D32" s="1">
        <v>28</v>
      </c>
      <c r="E32" s="5">
        <v>30.3</v>
      </c>
      <c r="F32" s="6">
        <v>30.3</v>
      </c>
      <c r="G32" s="1">
        <v>39.799999999999997</v>
      </c>
      <c r="H32" s="1">
        <v>44.7</v>
      </c>
      <c r="I32" s="1">
        <v>35.299999999999997</v>
      </c>
      <c r="J32" s="6">
        <v>44.9</v>
      </c>
      <c r="K32" s="1">
        <v>1.9</v>
      </c>
      <c r="L32" s="6">
        <v>0.5</v>
      </c>
      <c r="M32" s="5">
        <v>0.20799999999999999</v>
      </c>
      <c r="N32" s="6">
        <v>0.28399999999999997</v>
      </c>
      <c r="O32" s="1">
        <v>85</v>
      </c>
      <c r="P32" s="6">
        <v>96</v>
      </c>
      <c r="Q32" s="1" t="s">
        <v>44</v>
      </c>
      <c r="R32" s="1">
        <v>1</v>
      </c>
      <c r="S32" s="1" t="s">
        <v>35</v>
      </c>
      <c r="T32" s="6">
        <v>2</v>
      </c>
      <c r="U32" s="1">
        <v>10</v>
      </c>
      <c r="V32" s="1">
        <v>10</v>
      </c>
      <c r="W32" s="9">
        <v>0.16</v>
      </c>
    </row>
    <row r="33" spans="1:23" s="1" customFormat="1" x14ac:dyDescent="0.2">
      <c r="A33" s="10"/>
      <c r="B33" s="11"/>
      <c r="C33" s="11"/>
      <c r="D33" s="12" t="s">
        <v>45</v>
      </c>
      <c r="E33" s="11">
        <v>29.565000000000001</v>
      </c>
      <c r="F33" s="12">
        <v>29.571999999999999</v>
      </c>
      <c r="G33" s="10">
        <v>37.5</v>
      </c>
      <c r="H33" s="11">
        <v>39.700000000000003</v>
      </c>
      <c r="I33" s="11">
        <v>35.299999999999997</v>
      </c>
      <c r="J33" s="12">
        <v>44</v>
      </c>
      <c r="K33" s="10">
        <v>1.6</v>
      </c>
      <c r="L33" s="12">
        <v>1.8</v>
      </c>
      <c r="M33" s="11">
        <v>0.19700000000000001</v>
      </c>
      <c r="N33" s="11">
        <v>0.21299999999999999</v>
      </c>
      <c r="O33" s="10">
        <v>85.5</v>
      </c>
      <c r="P33" s="12">
        <v>85.1</v>
      </c>
      <c r="Q33" s="10" t="s">
        <v>25</v>
      </c>
      <c r="R33" s="11">
        <v>1.1000000000000001</v>
      </c>
      <c r="S33" s="11" t="s">
        <v>25</v>
      </c>
      <c r="T33" s="12">
        <v>1.4</v>
      </c>
      <c r="U33" s="10">
        <v>8.4</v>
      </c>
      <c r="V33" s="12">
        <v>6.8</v>
      </c>
      <c r="W33" s="13">
        <v>2.2679999999999998</v>
      </c>
    </row>
    <row r="34" spans="1:23" x14ac:dyDescent="0.2">
      <c r="F34">
        <f>SUM(F5:F32)/28</f>
        <v>29.57321428571429</v>
      </c>
    </row>
  </sheetData>
  <mergeCells count="8">
    <mergeCell ref="K3:L3"/>
    <mergeCell ref="M3:N3"/>
    <mergeCell ref="O3:P3"/>
    <mergeCell ref="E2:F2"/>
    <mergeCell ref="G2:J2"/>
    <mergeCell ref="K2:P2"/>
    <mergeCell ref="Q2:T2"/>
    <mergeCell ref="U2:V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123BD-0C11-44C5-98B9-64CC39BFEE8C}">
  <dimension ref="A2:W33"/>
  <sheetViews>
    <sheetView topLeftCell="L10" workbookViewId="0">
      <selection activeCell="W34" sqref="W34"/>
    </sheetView>
  </sheetViews>
  <sheetFormatPr baseColWidth="10" defaultColWidth="8.83203125" defaultRowHeight="15" x14ac:dyDescent="0.2"/>
  <cols>
    <col min="1" max="1" width="14" customWidth="1"/>
  </cols>
  <sheetData>
    <row r="2" spans="1:23" s="2" customFormat="1" ht="32" x14ac:dyDescent="0.2">
      <c r="A2" s="14"/>
      <c r="B2" s="15"/>
      <c r="C2" s="15"/>
      <c r="D2" s="15"/>
      <c r="E2" s="31" t="s">
        <v>0</v>
      </c>
      <c r="F2" s="32"/>
      <c r="G2" s="33" t="s">
        <v>1</v>
      </c>
      <c r="H2" s="33"/>
      <c r="I2" s="33"/>
      <c r="J2" s="34"/>
      <c r="K2" s="29" t="s">
        <v>2</v>
      </c>
      <c r="L2" s="33"/>
      <c r="M2" s="33"/>
      <c r="N2" s="33"/>
      <c r="O2" s="33"/>
      <c r="P2" s="34"/>
      <c r="Q2" s="33" t="s">
        <v>3</v>
      </c>
      <c r="R2" s="33"/>
      <c r="S2" s="33"/>
      <c r="T2" s="34"/>
      <c r="U2" s="29" t="s">
        <v>4</v>
      </c>
      <c r="V2" s="30"/>
      <c r="W2" s="7" t="s">
        <v>5</v>
      </c>
    </row>
    <row r="3" spans="1:23" s="2" customFormat="1" x14ac:dyDescent="0.2">
      <c r="A3" s="3"/>
      <c r="E3" s="16"/>
      <c r="F3" s="17"/>
      <c r="J3" s="4"/>
      <c r="K3" s="35" t="s">
        <v>6</v>
      </c>
      <c r="L3" s="36"/>
      <c r="M3" s="35" t="s">
        <v>7</v>
      </c>
      <c r="N3" s="36"/>
      <c r="O3" s="37" t="s">
        <v>8</v>
      </c>
      <c r="P3" s="38"/>
      <c r="T3" s="4"/>
      <c r="V3" s="1"/>
      <c r="W3" s="18"/>
    </row>
    <row r="4" spans="1:23" s="2" customFormat="1" x14ac:dyDescent="0.2">
      <c r="A4" s="3" t="s">
        <v>9</v>
      </c>
      <c r="B4" s="2" t="s">
        <v>10</v>
      </c>
      <c r="C4" s="2" t="s">
        <v>11</v>
      </c>
      <c r="D4" s="2" t="s">
        <v>12</v>
      </c>
      <c r="E4" s="3" t="s">
        <v>13</v>
      </c>
      <c r="F4" s="4" t="s">
        <v>14</v>
      </c>
      <c r="G4" s="2" t="s">
        <v>13</v>
      </c>
      <c r="H4" s="2" t="s">
        <v>14</v>
      </c>
      <c r="I4" s="2" t="s">
        <v>15</v>
      </c>
      <c r="J4" s="4" t="s">
        <v>16</v>
      </c>
      <c r="K4" s="2" t="s">
        <v>13</v>
      </c>
      <c r="L4" s="4" t="s">
        <v>14</v>
      </c>
      <c r="M4" s="3" t="s">
        <v>13</v>
      </c>
      <c r="N4" s="4" t="s">
        <v>14</v>
      </c>
      <c r="O4" s="2" t="s">
        <v>13</v>
      </c>
      <c r="P4" s="4" t="s">
        <v>14</v>
      </c>
      <c r="Q4" s="2" t="s">
        <v>17</v>
      </c>
      <c r="R4" s="2" t="s">
        <v>18</v>
      </c>
      <c r="S4" s="2" t="s">
        <v>19</v>
      </c>
      <c r="T4" s="4" t="s">
        <v>20</v>
      </c>
      <c r="U4" s="2" t="s">
        <v>13</v>
      </c>
      <c r="V4" s="2" t="s">
        <v>14</v>
      </c>
      <c r="W4" s="8" t="s">
        <v>13</v>
      </c>
    </row>
    <row r="5" spans="1:23" s="1" customFormat="1" x14ac:dyDescent="0.2">
      <c r="A5" s="5" t="s">
        <v>52</v>
      </c>
      <c r="B5" s="1">
        <v>1899</v>
      </c>
      <c r="C5" s="1" t="s">
        <v>22</v>
      </c>
      <c r="D5" s="1">
        <v>1</v>
      </c>
      <c r="E5" s="5">
        <v>29.03</v>
      </c>
      <c r="F5" s="6">
        <v>29.03</v>
      </c>
      <c r="G5" s="1">
        <v>31.7</v>
      </c>
      <c r="H5" s="1">
        <v>31.6</v>
      </c>
      <c r="I5" s="1">
        <v>29.4</v>
      </c>
      <c r="J5" s="6">
        <v>38.799999999999997</v>
      </c>
      <c r="K5" s="1">
        <v>1.7</v>
      </c>
      <c r="L5" s="6">
        <v>1.2</v>
      </c>
      <c r="M5" s="5">
        <v>0.14000000000000001</v>
      </c>
      <c r="N5" s="6">
        <v>0.15</v>
      </c>
      <c r="O5" s="1">
        <v>78</v>
      </c>
      <c r="P5" s="6">
        <v>83</v>
      </c>
      <c r="Q5" s="1" t="s">
        <v>44</v>
      </c>
      <c r="R5" s="1">
        <v>1</v>
      </c>
      <c r="S5" s="1" t="s">
        <v>44</v>
      </c>
      <c r="T5" s="6">
        <v>1</v>
      </c>
      <c r="U5" s="1">
        <v>3</v>
      </c>
      <c r="V5" s="1">
        <v>0</v>
      </c>
      <c r="W5" s="9" t="s">
        <v>25</v>
      </c>
    </row>
    <row r="6" spans="1:23" s="1" customFormat="1" x14ac:dyDescent="0.2">
      <c r="A6" s="5" t="s">
        <v>52</v>
      </c>
      <c r="B6" s="1">
        <v>1899</v>
      </c>
      <c r="C6" s="1" t="s">
        <v>22</v>
      </c>
      <c r="D6" s="1">
        <v>2</v>
      </c>
      <c r="E6" s="5">
        <v>29.11</v>
      </c>
      <c r="F6" s="6">
        <v>29.21</v>
      </c>
      <c r="G6" s="1">
        <v>31.6</v>
      </c>
      <c r="H6" s="1">
        <v>32.9</v>
      </c>
      <c r="I6" s="1">
        <v>29.4</v>
      </c>
      <c r="J6" s="6">
        <v>37.4</v>
      </c>
      <c r="K6" s="1">
        <v>1.5</v>
      </c>
      <c r="L6" s="6">
        <v>2.2999999999999998</v>
      </c>
      <c r="M6" s="5">
        <v>0.14399999999999999</v>
      </c>
      <c r="N6" s="6">
        <v>0.14000000000000001</v>
      </c>
      <c r="O6" s="1">
        <v>80</v>
      </c>
      <c r="P6" s="6">
        <v>75</v>
      </c>
      <c r="Q6" s="1" t="s">
        <v>44</v>
      </c>
      <c r="R6" s="1">
        <v>1</v>
      </c>
      <c r="S6" s="1" t="s">
        <v>29</v>
      </c>
      <c r="T6" s="6">
        <v>1</v>
      </c>
      <c r="U6" s="1">
        <v>0</v>
      </c>
      <c r="V6" s="1">
        <v>10</v>
      </c>
      <c r="W6" s="9" t="s">
        <v>25</v>
      </c>
    </row>
    <row r="7" spans="1:23" s="1" customFormat="1" x14ac:dyDescent="0.2">
      <c r="A7" s="5" t="s">
        <v>52</v>
      </c>
      <c r="B7" s="1">
        <v>1899</v>
      </c>
      <c r="C7" s="1" t="s">
        <v>22</v>
      </c>
      <c r="D7" s="1">
        <v>3</v>
      </c>
      <c r="E7" s="5">
        <v>29.34</v>
      </c>
      <c r="F7" s="6">
        <v>29.42</v>
      </c>
      <c r="G7" s="1">
        <v>32</v>
      </c>
      <c r="H7" s="1">
        <v>29.3</v>
      </c>
      <c r="I7" s="1">
        <v>28.4</v>
      </c>
      <c r="J7" s="6">
        <v>38.200000000000003</v>
      </c>
      <c r="K7" s="1">
        <v>1.4</v>
      </c>
      <c r="L7" s="6">
        <v>0.9</v>
      </c>
      <c r="M7" s="5">
        <v>0.14899999999999999</v>
      </c>
      <c r="N7" s="6">
        <v>0.13700000000000001</v>
      </c>
      <c r="O7" s="1">
        <v>82</v>
      </c>
      <c r="P7" s="6">
        <v>85</v>
      </c>
      <c r="Q7" s="1" t="s">
        <v>36</v>
      </c>
      <c r="R7" s="1">
        <v>0</v>
      </c>
      <c r="S7" s="1" t="s">
        <v>44</v>
      </c>
      <c r="T7" s="6">
        <v>1</v>
      </c>
      <c r="U7" s="1">
        <v>10</v>
      </c>
      <c r="V7" s="1">
        <v>0</v>
      </c>
      <c r="W7" s="9" t="s">
        <v>25</v>
      </c>
    </row>
    <row r="8" spans="1:23" s="1" customFormat="1" x14ac:dyDescent="0.2">
      <c r="A8" s="5" t="s">
        <v>52</v>
      </c>
      <c r="B8" s="1">
        <v>1899</v>
      </c>
      <c r="C8" s="1" t="s">
        <v>22</v>
      </c>
      <c r="D8" s="1">
        <v>4</v>
      </c>
      <c r="E8" s="5">
        <v>29.4</v>
      </c>
      <c r="F8" s="6">
        <v>29.2</v>
      </c>
      <c r="G8" s="1">
        <v>20.9</v>
      </c>
      <c r="H8" s="1">
        <v>30.3</v>
      </c>
      <c r="I8" s="1">
        <v>16.399999999999999</v>
      </c>
      <c r="J8" s="6">
        <v>35.6</v>
      </c>
      <c r="K8" s="1">
        <v>1.3</v>
      </c>
      <c r="L8" s="6">
        <v>1.4</v>
      </c>
      <c r="M8" s="5">
        <v>7.0000000000000007E-2</v>
      </c>
      <c r="N8" s="6">
        <v>0.13400000000000001</v>
      </c>
      <c r="O8" s="1">
        <v>63</v>
      </c>
      <c r="P8" s="6">
        <v>79</v>
      </c>
      <c r="Q8" s="1" t="s">
        <v>35</v>
      </c>
      <c r="R8" s="1">
        <v>1</v>
      </c>
      <c r="S8" s="1" t="s">
        <v>35</v>
      </c>
      <c r="T8" s="6">
        <v>1</v>
      </c>
      <c r="U8" s="1">
        <v>0</v>
      </c>
      <c r="V8" s="1">
        <v>0</v>
      </c>
      <c r="W8" s="9" t="s">
        <v>25</v>
      </c>
    </row>
    <row r="9" spans="1:23" s="1" customFormat="1" x14ac:dyDescent="0.2">
      <c r="A9" s="5" t="s">
        <v>52</v>
      </c>
      <c r="B9" s="1">
        <v>1899</v>
      </c>
      <c r="C9" s="1" t="s">
        <v>22</v>
      </c>
      <c r="D9" s="1">
        <v>5</v>
      </c>
      <c r="E9" s="5">
        <v>29.15</v>
      </c>
      <c r="F9" s="6">
        <v>29.33</v>
      </c>
      <c r="G9" s="1">
        <v>30.3</v>
      </c>
      <c r="H9" s="1">
        <v>29.9</v>
      </c>
      <c r="I9" s="1">
        <v>22.8</v>
      </c>
      <c r="J9" s="6">
        <v>35.6</v>
      </c>
      <c r="K9" s="1">
        <v>1.2</v>
      </c>
      <c r="L9" s="6">
        <v>1.3</v>
      </c>
      <c r="M9" s="5">
        <v>0.13900000000000001</v>
      </c>
      <c r="N9" s="6">
        <v>0.13200000000000001</v>
      </c>
      <c r="O9" s="1">
        <v>81</v>
      </c>
      <c r="P9" s="6">
        <v>79</v>
      </c>
      <c r="Q9" s="1" t="s">
        <v>36</v>
      </c>
      <c r="R9" s="1">
        <v>0</v>
      </c>
      <c r="S9" s="1" t="s">
        <v>43</v>
      </c>
      <c r="T9" s="6">
        <v>1</v>
      </c>
      <c r="U9" s="1">
        <v>6</v>
      </c>
      <c r="V9" s="1">
        <v>10</v>
      </c>
      <c r="W9" s="9" t="s">
        <v>25</v>
      </c>
    </row>
    <row r="10" spans="1:23" s="1" customFormat="1" x14ac:dyDescent="0.2">
      <c r="A10" s="5" t="s">
        <v>52</v>
      </c>
      <c r="B10" s="1">
        <v>1899</v>
      </c>
      <c r="C10" s="1" t="s">
        <v>22</v>
      </c>
      <c r="D10" s="1">
        <v>6</v>
      </c>
      <c r="E10" s="5">
        <v>29.31</v>
      </c>
      <c r="F10" s="6">
        <v>29.16</v>
      </c>
      <c r="G10" s="1">
        <v>34.700000000000003</v>
      </c>
      <c r="H10" s="1">
        <v>31.9</v>
      </c>
      <c r="I10" s="1">
        <v>28</v>
      </c>
      <c r="J10" s="6">
        <v>34.799999999999997</v>
      </c>
      <c r="K10" s="1">
        <v>1.1000000000000001</v>
      </c>
      <c r="L10" s="6">
        <v>1</v>
      </c>
      <c r="M10" s="5">
        <v>0.18</v>
      </c>
      <c r="N10" s="6">
        <v>0.157</v>
      </c>
      <c r="O10" s="1">
        <v>90</v>
      </c>
      <c r="P10" s="6">
        <v>87</v>
      </c>
      <c r="Q10" s="1" t="s">
        <v>31</v>
      </c>
      <c r="R10" s="1">
        <v>1</v>
      </c>
      <c r="S10" s="1" t="s">
        <v>43</v>
      </c>
      <c r="T10" s="6">
        <v>1</v>
      </c>
      <c r="U10" s="1">
        <v>10</v>
      </c>
      <c r="V10" s="1">
        <v>10</v>
      </c>
      <c r="W10" s="9" t="s">
        <v>25</v>
      </c>
    </row>
    <row r="11" spans="1:23" s="1" customFormat="1" x14ac:dyDescent="0.2">
      <c r="A11" s="5" t="s">
        <v>52</v>
      </c>
      <c r="B11" s="1">
        <v>1899</v>
      </c>
      <c r="C11" s="1" t="s">
        <v>22</v>
      </c>
      <c r="D11" s="1">
        <v>7</v>
      </c>
      <c r="E11" s="5">
        <v>28.87</v>
      </c>
      <c r="F11" s="6">
        <v>28.79</v>
      </c>
      <c r="G11" s="1">
        <v>36.299999999999997</v>
      </c>
      <c r="H11" s="1">
        <v>40</v>
      </c>
      <c r="I11" s="1">
        <v>30.6</v>
      </c>
      <c r="J11" s="6">
        <v>41.8</v>
      </c>
      <c r="K11" s="1">
        <v>1.1000000000000001</v>
      </c>
      <c r="L11" s="6">
        <v>0.7</v>
      </c>
      <c r="M11" s="5">
        <v>0.19400000000000001</v>
      </c>
      <c r="N11" s="6">
        <v>0.23200000000000001</v>
      </c>
      <c r="O11" s="1">
        <v>91</v>
      </c>
      <c r="P11" s="6">
        <v>94</v>
      </c>
      <c r="Q11" s="1" t="s">
        <v>31</v>
      </c>
      <c r="R11" s="1">
        <v>2</v>
      </c>
      <c r="S11" s="1" t="s">
        <v>35</v>
      </c>
      <c r="T11" s="6">
        <v>2</v>
      </c>
      <c r="U11" s="1">
        <v>10</v>
      </c>
      <c r="V11" s="1">
        <v>10</v>
      </c>
      <c r="W11" s="9">
        <v>0.14799999999999999</v>
      </c>
    </row>
    <row r="12" spans="1:23" s="1" customFormat="1" x14ac:dyDescent="0.2">
      <c r="A12" s="5" t="s">
        <v>52</v>
      </c>
      <c r="B12" s="1">
        <v>1899</v>
      </c>
      <c r="C12" s="1" t="s">
        <v>22</v>
      </c>
      <c r="D12" s="1">
        <v>8</v>
      </c>
      <c r="E12" s="5">
        <v>28.67</v>
      </c>
      <c r="F12" s="6">
        <v>28.46</v>
      </c>
      <c r="G12" s="1">
        <v>45.4</v>
      </c>
      <c r="H12" s="1">
        <v>44.4</v>
      </c>
      <c r="I12" s="1">
        <v>40</v>
      </c>
      <c r="J12" s="6">
        <v>49.2</v>
      </c>
      <c r="K12" s="1">
        <v>1.8</v>
      </c>
      <c r="L12" s="6">
        <v>2</v>
      </c>
      <c r="M12" s="5">
        <v>0.26200000000000001</v>
      </c>
      <c r="N12" s="6">
        <v>0.248</v>
      </c>
      <c r="O12" s="1">
        <v>87</v>
      </c>
      <c r="P12" s="6">
        <v>85</v>
      </c>
      <c r="Q12" s="1" t="s">
        <v>35</v>
      </c>
      <c r="R12" s="1">
        <v>3</v>
      </c>
      <c r="S12" s="1" t="s">
        <v>35</v>
      </c>
      <c r="T12" s="6">
        <v>1</v>
      </c>
      <c r="U12" s="1">
        <v>10</v>
      </c>
      <c r="V12" s="1">
        <v>5</v>
      </c>
      <c r="W12" s="9">
        <v>0.496</v>
      </c>
    </row>
    <row r="13" spans="1:23" s="1" customFormat="1" x14ac:dyDescent="0.2">
      <c r="A13" s="5" t="s">
        <v>52</v>
      </c>
      <c r="B13" s="1">
        <v>1899</v>
      </c>
      <c r="C13" s="1" t="s">
        <v>22</v>
      </c>
      <c r="D13" s="1">
        <v>9</v>
      </c>
      <c r="E13" s="5">
        <v>28.65</v>
      </c>
      <c r="F13" s="6">
        <v>28.45</v>
      </c>
      <c r="G13" s="1">
        <v>43</v>
      </c>
      <c r="H13" s="1">
        <v>51</v>
      </c>
      <c r="I13" s="1">
        <v>41.2</v>
      </c>
      <c r="J13" s="6">
        <v>53</v>
      </c>
      <c r="K13" s="1">
        <v>1.6</v>
      </c>
      <c r="L13" s="6">
        <v>1.6</v>
      </c>
      <c r="M13" s="5">
        <v>0.24199999999999999</v>
      </c>
      <c r="N13" s="6">
        <v>0.33300000000000002</v>
      </c>
      <c r="O13" s="1">
        <v>87</v>
      </c>
      <c r="P13" s="6">
        <v>89</v>
      </c>
      <c r="Q13" s="1" t="s">
        <v>35</v>
      </c>
      <c r="R13" s="1">
        <v>1</v>
      </c>
      <c r="S13" s="1" t="s">
        <v>35</v>
      </c>
      <c r="T13" s="6">
        <v>6</v>
      </c>
      <c r="U13" s="1">
        <v>10</v>
      </c>
      <c r="V13" s="1">
        <v>10</v>
      </c>
      <c r="W13" s="9">
        <v>0.14199999999999999</v>
      </c>
    </row>
    <row r="14" spans="1:23" s="1" customFormat="1" x14ac:dyDescent="0.2">
      <c r="A14" s="5" t="s">
        <v>52</v>
      </c>
      <c r="B14" s="1">
        <v>1899</v>
      </c>
      <c r="C14" s="1" t="s">
        <v>22</v>
      </c>
      <c r="D14" s="1">
        <v>10</v>
      </c>
      <c r="E14" s="5">
        <v>28.67</v>
      </c>
      <c r="F14" s="6">
        <v>28.67</v>
      </c>
      <c r="G14" s="1">
        <v>44</v>
      </c>
      <c r="H14" s="1">
        <v>49</v>
      </c>
      <c r="I14" s="1">
        <v>42.2</v>
      </c>
      <c r="J14" s="6">
        <v>51.6</v>
      </c>
      <c r="K14" s="1">
        <v>1.3</v>
      </c>
      <c r="L14" s="6">
        <v>2.6</v>
      </c>
      <c r="M14" s="5">
        <v>0.25900000000000001</v>
      </c>
      <c r="N14" s="6">
        <v>0.28499999999999998</v>
      </c>
      <c r="O14" s="1">
        <v>90</v>
      </c>
      <c r="P14" s="6">
        <v>82</v>
      </c>
      <c r="Q14" s="1" t="s">
        <v>35</v>
      </c>
      <c r="R14" s="1">
        <v>1</v>
      </c>
      <c r="S14" s="1" t="s">
        <v>35</v>
      </c>
      <c r="T14" s="6">
        <v>6</v>
      </c>
      <c r="U14" s="1">
        <v>10</v>
      </c>
      <c r="V14" s="1">
        <v>10</v>
      </c>
      <c r="W14" s="9">
        <v>0.54200000000000004</v>
      </c>
    </row>
    <row r="15" spans="1:23" s="1" customFormat="1" x14ac:dyDescent="0.2">
      <c r="A15" s="5" t="s">
        <v>52</v>
      </c>
      <c r="B15" s="1">
        <v>1899</v>
      </c>
      <c r="C15" s="1" t="s">
        <v>22</v>
      </c>
      <c r="D15" s="1">
        <v>11</v>
      </c>
      <c r="E15" s="5">
        <v>28.73</v>
      </c>
      <c r="F15" s="6">
        <v>28.48</v>
      </c>
      <c r="G15" s="1">
        <v>47.8</v>
      </c>
      <c r="H15" s="1">
        <v>47.8</v>
      </c>
      <c r="I15" s="1">
        <v>45</v>
      </c>
      <c r="J15" s="6">
        <v>51.8</v>
      </c>
      <c r="K15" s="1">
        <v>2</v>
      </c>
      <c r="L15" s="6">
        <v>2.2000000000000002</v>
      </c>
      <c r="M15" s="5">
        <v>0.28299999999999997</v>
      </c>
      <c r="N15" s="6">
        <v>0.27900000000000003</v>
      </c>
      <c r="O15" s="1">
        <v>86</v>
      </c>
      <c r="P15" s="6">
        <v>84</v>
      </c>
      <c r="Q15" s="1" t="s">
        <v>35</v>
      </c>
      <c r="R15" s="1">
        <v>6</v>
      </c>
      <c r="S15" s="1" t="s">
        <v>35</v>
      </c>
      <c r="T15" s="6">
        <v>1</v>
      </c>
      <c r="U15" s="1">
        <v>10</v>
      </c>
      <c r="V15" s="1">
        <v>6</v>
      </c>
      <c r="W15" s="9">
        <v>0.20200000000000001</v>
      </c>
    </row>
    <row r="16" spans="1:23" s="1" customFormat="1" x14ac:dyDescent="0.2">
      <c r="A16" s="5" t="s">
        <v>52</v>
      </c>
      <c r="B16" s="1">
        <v>1899</v>
      </c>
      <c r="C16" s="1" t="s">
        <v>22</v>
      </c>
      <c r="D16" s="1">
        <v>12</v>
      </c>
      <c r="E16" s="5">
        <v>28.42</v>
      </c>
      <c r="F16" s="6">
        <v>28.63</v>
      </c>
      <c r="G16" s="1">
        <v>40.299999999999997</v>
      </c>
      <c r="H16" s="1">
        <v>41</v>
      </c>
      <c r="I16" s="1">
        <v>39.4</v>
      </c>
      <c r="J16" s="6">
        <v>48.8</v>
      </c>
      <c r="K16" s="1">
        <v>1.2</v>
      </c>
      <c r="L16" s="6">
        <v>1.2</v>
      </c>
      <c r="M16" s="5">
        <v>0.22500000000000001</v>
      </c>
      <c r="N16" s="6">
        <v>0.23100000000000001</v>
      </c>
      <c r="O16" s="1">
        <v>91</v>
      </c>
      <c r="P16" s="6">
        <v>90</v>
      </c>
      <c r="Q16" s="1" t="s">
        <v>35</v>
      </c>
      <c r="R16" s="1">
        <v>1</v>
      </c>
      <c r="S16" s="1" t="s">
        <v>35</v>
      </c>
      <c r="T16" s="6">
        <v>1</v>
      </c>
      <c r="U16" s="1">
        <v>10</v>
      </c>
      <c r="V16" s="1">
        <v>5</v>
      </c>
      <c r="W16" s="9">
        <v>7.3999999999999996E-2</v>
      </c>
    </row>
    <row r="17" spans="1:23" s="1" customFormat="1" x14ac:dyDescent="0.2">
      <c r="A17" s="5" t="s">
        <v>52</v>
      </c>
      <c r="B17" s="1">
        <v>1899</v>
      </c>
      <c r="C17" s="1" t="s">
        <v>22</v>
      </c>
      <c r="D17" s="1">
        <v>13</v>
      </c>
      <c r="E17" s="5">
        <v>28.48</v>
      </c>
      <c r="F17" s="6">
        <v>28.37</v>
      </c>
      <c r="G17" s="1">
        <v>43</v>
      </c>
      <c r="H17" s="1">
        <v>42.1</v>
      </c>
      <c r="I17" s="1">
        <v>35.799999999999997</v>
      </c>
      <c r="J17" s="6">
        <v>49.6</v>
      </c>
      <c r="K17" s="1">
        <v>1.4</v>
      </c>
      <c r="L17" s="6">
        <v>2</v>
      </c>
      <c r="M17" s="5">
        <v>0.247</v>
      </c>
      <c r="N17" s="6">
        <v>0.22600000000000001</v>
      </c>
      <c r="O17" s="1">
        <v>89</v>
      </c>
      <c r="P17" s="6">
        <v>85</v>
      </c>
      <c r="Q17" s="1" t="s">
        <v>44</v>
      </c>
      <c r="R17" s="1">
        <v>1</v>
      </c>
      <c r="S17" s="1" t="s">
        <v>35</v>
      </c>
      <c r="T17" s="6">
        <v>3</v>
      </c>
      <c r="U17" s="1">
        <v>10</v>
      </c>
      <c r="V17" s="1">
        <v>10</v>
      </c>
      <c r="W17" s="9">
        <v>0.17599999999999999</v>
      </c>
    </row>
    <row r="18" spans="1:23" s="1" customFormat="1" x14ac:dyDescent="0.2">
      <c r="A18" s="5" t="s">
        <v>52</v>
      </c>
      <c r="B18" s="1">
        <v>1899</v>
      </c>
      <c r="C18" s="1" t="s">
        <v>22</v>
      </c>
      <c r="D18" s="1">
        <v>14</v>
      </c>
      <c r="E18" s="5">
        <v>28.66</v>
      </c>
      <c r="F18" s="6">
        <v>28.95</v>
      </c>
      <c r="G18" s="1">
        <v>40.299999999999997</v>
      </c>
      <c r="H18" s="1">
        <v>40.200000000000003</v>
      </c>
      <c r="I18" s="1">
        <v>36.200000000000003</v>
      </c>
      <c r="J18" s="6">
        <v>49.6</v>
      </c>
      <c r="K18" s="1">
        <v>1.3</v>
      </c>
      <c r="L18" s="6">
        <v>1.1000000000000001</v>
      </c>
      <c r="M18" s="5">
        <v>0.223</v>
      </c>
      <c r="N18" s="6">
        <v>0.22600000000000001</v>
      </c>
      <c r="O18" s="1">
        <v>90</v>
      </c>
      <c r="P18" s="6">
        <v>91</v>
      </c>
      <c r="Q18" s="1" t="s">
        <v>35</v>
      </c>
      <c r="R18" s="1">
        <v>2</v>
      </c>
      <c r="S18" s="1" t="s">
        <v>38</v>
      </c>
      <c r="T18" s="6">
        <v>3</v>
      </c>
      <c r="U18" s="1">
        <v>5</v>
      </c>
      <c r="V18" s="1">
        <v>4</v>
      </c>
      <c r="W18" s="9">
        <v>0.10199999999999999</v>
      </c>
    </row>
    <row r="19" spans="1:23" s="1" customFormat="1" x14ac:dyDescent="0.2">
      <c r="A19" s="5" t="s">
        <v>52</v>
      </c>
      <c r="B19" s="1">
        <v>1899</v>
      </c>
      <c r="C19" s="1" t="s">
        <v>22</v>
      </c>
      <c r="D19" s="1">
        <v>15</v>
      </c>
      <c r="E19" s="5">
        <v>29.1</v>
      </c>
      <c r="F19" s="6">
        <v>29.24</v>
      </c>
      <c r="G19" s="1">
        <v>43.2</v>
      </c>
      <c r="H19" s="1">
        <v>42.4</v>
      </c>
      <c r="I19" s="1">
        <v>34.799999999999997</v>
      </c>
      <c r="J19" s="6">
        <v>48.6</v>
      </c>
      <c r="K19" s="1">
        <v>2.2000000000000002</v>
      </c>
      <c r="L19" s="6">
        <v>1.8</v>
      </c>
      <c r="M19" s="5">
        <v>0.23200000000000001</v>
      </c>
      <c r="N19" s="6">
        <v>0.23300000000000001</v>
      </c>
      <c r="O19" s="1">
        <v>83</v>
      </c>
      <c r="P19" s="6">
        <v>86</v>
      </c>
      <c r="Q19" s="1" t="s">
        <v>35</v>
      </c>
      <c r="R19" s="1">
        <v>3</v>
      </c>
      <c r="S19" s="1" t="s">
        <v>35</v>
      </c>
      <c r="T19" s="6">
        <v>1</v>
      </c>
      <c r="U19" s="1">
        <v>4</v>
      </c>
      <c r="V19" s="1">
        <v>4</v>
      </c>
      <c r="W19" s="9" t="s">
        <v>25</v>
      </c>
    </row>
    <row r="20" spans="1:23" s="1" customFormat="1" x14ac:dyDescent="0.2">
      <c r="A20" s="5" t="s">
        <v>52</v>
      </c>
      <c r="B20" s="1">
        <v>1899</v>
      </c>
      <c r="C20" s="1" t="s">
        <v>22</v>
      </c>
      <c r="D20" s="1">
        <v>16</v>
      </c>
      <c r="E20" s="5">
        <v>29.24</v>
      </c>
      <c r="F20" s="6">
        <v>29.29</v>
      </c>
      <c r="G20" s="1">
        <v>40.799999999999997</v>
      </c>
      <c r="H20" s="1">
        <v>43.7</v>
      </c>
      <c r="I20" s="1">
        <v>35.6</v>
      </c>
      <c r="J20" s="6">
        <v>48.8</v>
      </c>
      <c r="K20" s="1">
        <v>1.9</v>
      </c>
      <c r="L20" s="6">
        <v>1.7</v>
      </c>
      <c r="M20" s="5">
        <v>0.216</v>
      </c>
      <c r="N20" s="6">
        <v>0.247</v>
      </c>
      <c r="O20" s="1">
        <v>85</v>
      </c>
      <c r="P20" s="6">
        <v>86</v>
      </c>
      <c r="Q20" s="1" t="s">
        <v>35</v>
      </c>
      <c r="R20" s="1">
        <v>2</v>
      </c>
      <c r="S20" s="1" t="s">
        <v>38</v>
      </c>
      <c r="T20" s="6">
        <v>5</v>
      </c>
      <c r="U20" s="1">
        <v>4</v>
      </c>
      <c r="V20" s="1">
        <v>10</v>
      </c>
      <c r="W20" s="9">
        <v>7.3999999999999996E-2</v>
      </c>
    </row>
    <row r="21" spans="1:23" s="1" customFormat="1" x14ac:dyDescent="0.2">
      <c r="A21" s="5" t="s">
        <v>52</v>
      </c>
      <c r="B21" s="1">
        <v>1899</v>
      </c>
      <c r="C21" s="1" t="s">
        <v>22</v>
      </c>
      <c r="D21" s="1">
        <v>17</v>
      </c>
      <c r="E21" s="5">
        <v>29.36</v>
      </c>
      <c r="F21" s="6">
        <v>29.48</v>
      </c>
      <c r="G21" s="1">
        <v>43.4</v>
      </c>
      <c r="H21" s="1">
        <v>47</v>
      </c>
      <c r="I21" s="1">
        <v>40</v>
      </c>
      <c r="J21" s="6">
        <v>52.6</v>
      </c>
      <c r="K21" s="1">
        <v>2.1</v>
      </c>
      <c r="L21" s="6">
        <v>1.8</v>
      </c>
      <c r="M21" s="5">
        <v>0.23599999999999999</v>
      </c>
      <c r="N21" s="6">
        <v>0.28000000000000003</v>
      </c>
      <c r="O21" s="1">
        <v>83</v>
      </c>
      <c r="P21" s="6">
        <v>87</v>
      </c>
      <c r="Q21" s="1" t="s">
        <v>35</v>
      </c>
      <c r="R21" s="1">
        <v>2</v>
      </c>
      <c r="S21" s="1" t="s">
        <v>35</v>
      </c>
      <c r="T21" s="6">
        <v>2</v>
      </c>
      <c r="U21" s="1">
        <v>4</v>
      </c>
      <c r="V21" s="1">
        <v>6</v>
      </c>
      <c r="W21" s="9" t="s">
        <v>25</v>
      </c>
    </row>
    <row r="22" spans="1:23" s="1" customFormat="1" x14ac:dyDescent="0.2">
      <c r="A22" s="5" t="s">
        <v>52</v>
      </c>
      <c r="B22" s="1">
        <v>1899</v>
      </c>
      <c r="C22" s="1" t="s">
        <v>22</v>
      </c>
      <c r="D22" s="1">
        <v>18</v>
      </c>
      <c r="E22" s="5">
        <v>29.47</v>
      </c>
      <c r="F22" s="6">
        <v>29.51</v>
      </c>
      <c r="G22" s="1">
        <v>45.8</v>
      </c>
      <c r="H22" s="1">
        <v>44.2</v>
      </c>
      <c r="I22" s="1">
        <v>38.4</v>
      </c>
      <c r="J22" s="6">
        <v>50</v>
      </c>
      <c r="K22" s="1">
        <v>1.2</v>
      </c>
      <c r="L22" s="6">
        <v>1.6</v>
      </c>
      <c r="M22" s="5">
        <v>0.28100000000000003</v>
      </c>
      <c r="N22" s="6">
        <v>0.255</v>
      </c>
      <c r="O22" s="1">
        <v>92</v>
      </c>
      <c r="P22" s="6">
        <v>88</v>
      </c>
      <c r="Q22" s="1" t="s">
        <v>36</v>
      </c>
      <c r="R22" s="1">
        <v>0</v>
      </c>
      <c r="S22" s="1" t="s">
        <v>35</v>
      </c>
      <c r="T22" s="6">
        <v>1</v>
      </c>
      <c r="U22" s="1">
        <v>10</v>
      </c>
      <c r="V22" s="1">
        <v>10</v>
      </c>
      <c r="W22" s="9">
        <v>0.20599999999999999</v>
      </c>
    </row>
    <row r="23" spans="1:23" s="1" customFormat="1" x14ac:dyDescent="0.2">
      <c r="A23" s="5" t="s">
        <v>52</v>
      </c>
      <c r="B23" s="1">
        <v>1899</v>
      </c>
      <c r="C23" s="1" t="s">
        <v>22</v>
      </c>
      <c r="D23" s="1">
        <v>19</v>
      </c>
      <c r="E23" s="5">
        <v>29.64</v>
      </c>
      <c r="F23" s="6">
        <v>29.81</v>
      </c>
      <c r="G23" s="1">
        <v>41</v>
      </c>
      <c r="H23" s="1">
        <v>37</v>
      </c>
      <c r="I23" s="1">
        <v>35</v>
      </c>
      <c r="J23" s="6">
        <v>47.8</v>
      </c>
      <c r="K23" s="1">
        <v>0.7</v>
      </c>
      <c r="L23" s="6">
        <v>1.2</v>
      </c>
      <c r="M23" s="5">
        <v>0.24199999999999999</v>
      </c>
      <c r="N23" s="6">
        <v>0.19600000000000001</v>
      </c>
      <c r="O23" s="1">
        <v>94</v>
      </c>
      <c r="P23" s="6">
        <v>89</v>
      </c>
      <c r="Q23" s="1" t="s">
        <v>38</v>
      </c>
      <c r="R23" s="1">
        <v>1</v>
      </c>
      <c r="S23" s="1" t="s">
        <v>35</v>
      </c>
      <c r="T23" s="6">
        <v>1</v>
      </c>
      <c r="U23" s="1">
        <v>10</v>
      </c>
      <c r="V23" s="1">
        <v>6</v>
      </c>
      <c r="W23" s="9" t="s">
        <v>25</v>
      </c>
    </row>
    <row r="24" spans="1:23" s="1" customFormat="1" x14ac:dyDescent="0.2">
      <c r="A24" s="5" t="s">
        <v>52</v>
      </c>
      <c r="B24" s="1">
        <v>1899</v>
      </c>
      <c r="C24" s="1" t="s">
        <v>22</v>
      </c>
      <c r="D24" s="1">
        <v>20</v>
      </c>
      <c r="E24" s="5">
        <v>29.88</v>
      </c>
      <c r="F24" s="6">
        <v>29.86</v>
      </c>
      <c r="G24" s="1">
        <v>31.9</v>
      </c>
      <c r="H24" s="1">
        <v>39.4</v>
      </c>
      <c r="I24" s="1">
        <v>29.6</v>
      </c>
      <c r="J24" s="6">
        <v>42.8</v>
      </c>
      <c r="K24" s="1">
        <v>1.5</v>
      </c>
      <c r="L24" s="6">
        <v>1.1000000000000001</v>
      </c>
      <c r="M24" s="5">
        <v>0.14599999999999999</v>
      </c>
      <c r="N24" s="6">
        <v>0.22</v>
      </c>
      <c r="O24" s="1">
        <v>80</v>
      </c>
      <c r="P24" s="6">
        <v>91</v>
      </c>
      <c r="Q24" s="1" t="s">
        <v>36</v>
      </c>
      <c r="R24" s="1">
        <v>0</v>
      </c>
      <c r="S24" s="1" t="s">
        <v>47</v>
      </c>
      <c r="T24" s="6">
        <v>3</v>
      </c>
      <c r="U24" s="1">
        <v>10</v>
      </c>
      <c r="V24" s="1">
        <v>10</v>
      </c>
      <c r="W24" s="9" t="s">
        <v>25</v>
      </c>
    </row>
    <row r="25" spans="1:23" s="1" customFormat="1" x14ac:dyDescent="0.2">
      <c r="A25" s="5" t="s">
        <v>52</v>
      </c>
      <c r="B25" s="1">
        <v>1899</v>
      </c>
      <c r="C25" s="1" t="s">
        <v>22</v>
      </c>
      <c r="D25" s="1">
        <v>21</v>
      </c>
      <c r="E25" s="5">
        <v>29.9</v>
      </c>
      <c r="F25" s="6">
        <v>29.89</v>
      </c>
      <c r="G25" s="1">
        <v>40.4</v>
      </c>
      <c r="H25" s="1">
        <v>35</v>
      </c>
      <c r="I25" s="1">
        <v>33.799999999999997</v>
      </c>
      <c r="J25" s="6">
        <v>47.4</v>
      </c>
      <c r="K25" s="1">
        <v>2</v>
      </c>
      <c r="L25" s="6">
        <v>1.1000000000000001</v>
      </c>
      <c r="M25" s="5">
        <v>0.21099999999999999</v>
      </c>
      <c r="N25" s="6">
        <v>0.182</v>
      </c>
      <c r="O25" s="1">
        <v>84</v>
      </c>
      <c r="P25" s="6">
        <v>89</v>
      </c>
      <c r="Q25" s="1" t="s">
        <v>43</v>
      </c>
      <c r="R25" s="1">
        <v>2</v>
      </c>
      <c r="S25" s="1" t="s">
        <v>31</v>
      </c>
      <c r="T25" s="6">
        <v>2</v>
      </c>
      <c r="U25" s="1">
        <v>10</v>
      </c>
      <c r="V25" s="1">
        <v>0</v>
      </c>
      <c r="W25" s="9" t="s">
        <v>25</v>
      </c>
    </row>
    <row r="26" spans="1:23" s="1" customFormat="1" x14ac:dyDescent="0.2">
      <c r="A26" s="5" t="s">
        <v>52</v>
      </c>
      <c r="B26" s="1">
        <v>1899</v>
      </c>
      <c r="C26" s="1" t="s">
        <v>22</v>
      </c>
      <c r="D26" s="1">
        <v>22</v>
      </c>
      <c r="E26" s="5">
        <v>29.85</v>
      </c>
      <c r="F26" s="6">
        <v>29.81</v>
      </c>
      <c r="G26" s="1">
        <v>27.3</v>
      </c>
      <c r="H26" s="1">
        <v>36.299999999999997</v>
      </c>
      <c r="I26" s="1">
        <v>21.8</v>
      </c>
      <c r="J26" s="6">
        <v>54.2</v>
      </c>
      <c r="K26" s="1">
        <v>1.7</v>
      </c>
      <c r="L26" s="6">
        <v>1.7</v>
      </c>
      <c r="M26" s="5">
        <v>0.1</v>
      </c>
      <c r="N26" s="6">
        <v>0.183</v>
      </c>
      <c r="O26" s="1">
        <v>67</v>
      </c>
      <c r="P26" s="6">
        <v>85</v>
      </c>
      <c r="Q26" s="1" t="s">
        <v>43</v>
      </c>
      <c r="R26" s="1">
        <v>1</v>
      </c>
      <c r="S26" s="1" t="s">
        <v>31</v>
      </c>
      <c r="T26" s="6">
        <v>1</v>
      </c>
      <c r="U26" s="1">
        <v>0</v>
      </c>
      <c r="V26" s="1">
        <v>0</v>
      </c>
      <c r="W26" s="9" t="s">
        <v>25</v>
      </c>
    </row>
    <row r="27" spans="1:23" s="1" customFormat="1" x14ac:dyDescent="0.2">
      <c r="A27" s="5" t="s">
        <v>52</v>
      </c>
      <c r="B27" s="1">
        <v>1899</v>
      </c>
      <c r="C27" s="1" t="s">
        <v>22</v>
      </c>
      <c r="D27" s="1">
        <v>23</v>
      </c>
      <c r="E27" s="5">
        <v>29.74</v>
      </c>
      <c r="F27" s="6">
        <v>29.73</v>
      </c>
      <c r="G27" s="1">
        <v>34.299999999999997</v>
      </c>
      <c r="H27" s="1">
        <v>35.200000000000003</v>
      </c>
      <c r="I27" s="1">
        <v>25.2</v>
      </c>
      <c r="J27" s="6">
        <v>53.4</v>
      </c>
      <c r="K27" s="1">
        <v>1.3</v>
      </c>
      <c r="L27" s="6">
        <v>1.5</v>
      </c>
      <c r="M27" s="5">
        <v>0.17199999999999999</v>
      </c>
      <c r="N27" s="6">
        <v>0.17699999999999999</v>
      </c>
      <c r="O27" s="1">
        <v>86</v>
      </c>
      <c r="P27" s="6">
        <v>86</v>
      </c>
      <c r="Q27" s="1" t="s">
        <v>35</v>
      </c>
      <c r="R27" s="1">
        <v>1</v>
      </c>
      <c r="S27" s="1" t="s">
        <v>36</v>
      </c>
      <c r="T27" s="6">
        <v>0</v>
      </c>
      <c r="U27" s="1">
        <v>0</v>
      </c>
      <c r="V27" s="1">
        <v>0</v>
      </c>
      <c r="W27" s="9" t="s">
        <v>25</v>
      </c>
    </row>
    <row r="28" spans="1:23" s="1" customFormat="1" x14ac:dyDescent="0.2">
      <c r="A28" s="5" t="s">
        <v>52</v>
      </c>
      <c r="B28" s="1">
        <v>1899</v>
      </c>
      <c r="C28" s="1" t="s">
        <v>22</v>
      </c>
      <c r="D28" s="1">
        <v>24</v>
      </c>
      <c r="E28" s="5">
        <v>29.79</v>
      </c>
      <c r="F28" s="6">
        <v>29.78</v>
      </c>
      <c r="G28" s="1">
        <v>29.3</v>
      </c>
      <c r="H28" s="1">
        <v>31.1</v>
      </c>
      <c r="I28" s="1">
        <v>23</v>
      </c>
      <c r="J28" s="6">
        <v>44.6</v>
      </c>
      <c r="K28" s="1">
        <v>1.4</v>
      </c>
      <c r="L28" s="6">
        <v>1.3</v>
      </c>
      <c r="M28" s="5">
        <v>0.124</v>
      </c>
      <c r="N28" s="6">
        <v>0.14199999999999999</v>
      </c>
      <c r="O28" s="1">
        <v>77</v>
      </c>
      <c r="P28" s="6">
        <v>81</v>
      </c>
      <c r="Q28" s="1" t="s">
        <v>31</v>
      </c>
      <c r="R28" s="1">
        <v>1</v>
      </c>
      <c r="S28" s="1" t="s">
        <v>35</v>
      </c>
      <c r="T28" s="6">
        <v>1</v>
      </c>
      <c r="U28" s="1">
        <v>0</v>
      </c>
      <c r="V28" s="1">
        <v>0</v>
      </c>
      <c r="W28" s="9" t="s">
        <v>25</v>
      </c>
    </row>
    <row r="29" spans="1:23" s="1" customFormat="1" x14ac:dyDescent="0.2">
      <c r="A29" s="5" t="s">
        <v>52</v>
      </c>
      <c r="B29" s="1">
        <v>1899</v>
      </c>
      <c r="C29" s="1" t="s">
        <v>22</v>
      </c>
      <c r="D29" s="1">
        <v>25</v>
      </c>
      <c r="E29" s="5">
        <v>29.86</v>
      </c>
      <c r="F29" s="6">
        <v>29.85</v>
      </c>
      <c r="G29" s="1">
        <v>35</v>
      </c>
      <c r="H29" s="1">
        <v>28.9</v>
      </c>
      <c r="I29" s="1">
        <v>21.4</v>
      </c>
      <c r="J29" s="6">
        <v>43.8</v>
      </c>
      <c r="K29" s="1">
        <v>1.2</v>
      </c>
      <c r="L29" s="6">
        <v>1.5</v>
      </c>
      <c r="M29" s="5">
        <v>0.18</v>
      </c>
      <c r="N29" s="6">
        <v>0.11700000000000001</v>
      </c>
      <c r="O29" s="1">
        <v>88</v>
      </c>
      <c r="P29" s="6">
        <v>74</v>
      </c>
      <c r="Q29" s="1" t="s">
        <v>36</v>
      </c>
      <c r="R29" s="1">
        <v>0</v>
      </c>
      <c r="S29" s="1" t="s">
        <v>35</v>
      </c>
      <c r="T29" s="6">
        <v>1</v>
      </c>
      <c r="U29" s="1">
        <v>0</v>
      </c>
      <c r="V29" s="1">
        <v>0</v>
      </c>
      <c r="W29" s="9" t="s">
        <v>25</v>
      </c>
    </row>
    <row r="30" spans="1:23" s="1" customFormat="1" x14ac:dyDescent="0.2">
      <c r="A30" s="5" t="s">
        <v>52</v>
      </c>
      <c r="B30" s="1">
        <v>1899</v>
      </c>
      <c r="C30" s="1" t="s">
        <v>22</v>
      </c>
      <c r="D30" s="1">
        <v>26</v>
      </c>
      <c r="E30" s="5">
        <v>29.85</v>
      </c>
      <c r="F30" s="6">
        <v>29.85</v>
      </c>
      <c r="G30" s="1">
        <v>22.4</v>
      </c>
      <c r="H30" s="1">
        <v>27.9</v>
      </c>
      <c r="I30" s="1">
        <v>16.8</v>
      </c>
      <c r="J30" s="6">
        <v>46</v>
      </c>
      <c r="K30" s="1">
        <v>1.2</v>
      </c>
      <c r="L30" s="6">
        <v>2.2999999999999998</v>
      </c>
      <c r="M30" s="5">
        <v>0.08</v>
      </c>
      <c r="N30" s="6">
        <v>0.09</v>
      </c>
      <c r="O30" s="1">
        <v>68</v>
      </c>
      <c r="P30" s="6">
        <v>59</v>
      </c>
      <c r="Q30" s="1" t="s">
        <v>35</v>
      </c>
      <c r="R30" s="1">
        <v>1</v>
      </c>
      <c r="S30" s="1" t="s">
        <v>35</v>
      </c>
      <c r="T30" s="6">
        <v>1</v>
      </c>
      <c r="U30" s="1">
        <v>0</v>
      </c>
      <c r="V30" s="1">
        <v>0</v>
      </c>
      <c r="W30" s="9" t="s">
        <v>25</v>
      </c>
    </row>
    <row r="31" spans="1:23" s="1" customFormat="1" x14ac:dyDescent="0.2">
      <c r="A31" s="5" t="s">
        <v>52</v>
      </c>
      <c r="B31" s="1">
        <v>1899</v>
      </c>
      <c r="C31" s="1" t="s">
        <v>22</v>
      </c>
      <c r="D31" s="1">
        <v>27</v>
      </c>
      <c r="E31" s="5">
        <v>29.95</v>
      </c>
      <c r="F31" s="6">
        <v>29.97</v>
      </c>
      <c r="G31" s="1">
        <v>26.3</v>
      </c>
      <c r="H31" s="1">
        <v>30.7</v>
      </c>
      <c r="I31" s="1">
        <v>18</v>
      </c>
      <c r="J31" s="6">
        <v>45.6</v>
      </c>
      <c r="K31" s="1">
        <v>1.7</v>
      </c>
      <c r="L31" s="6">
        <v>2.1</v>
      </c>
      <c r="M31" s="5">
        <v>9.0999999999999998E-2</v>
      </c>
      <c r="N31" s="6">
        <v>0.122</v>
      </c>
      <c r="O31" s="1">
        <v>64</v>
      </c>
      <c r="P31" s="6">
        <v>71</v>
      </c>
      <c r="Q31" s="1" t="s">
        <v>35</v>
      </c>
      <c r="R31" s="1">
        <v>1</v>
      </c>
      <c r="S31" s="1" t="s">
        <v>35</v>
      </c>
      <c r="T31" s="6">
        <v>1</v>
      </c>
      <c r="U31" s="1">
        <v>0</v>
      </c>
      <c r="V31" s="1">
        <v>0</v>
      </c>
      <c r="W31" s="9" t="s">
        <v>25</v>
      </c>
    </row>
    <row r="32" spans="1:23" s="1" customFormat="1" x14ac:dyDescent="0.2">
      <c r="A32" s="5" t="s">
        <v>52</v>
      </c>
      <c r="B32" s="1">
        <v>1899</v>
      </c>
      <c r="C32" s="1" t="s">
        <v>22</v>
      </c>
      <c r="D32" s="1">
        <v>28</v>
      </c>
      <c r="E32" s="5">
        <v>30.03</v>
      </c>
      <c r="F32" s="6">
        <v>29.98</v>
      </c>
      <c r="G32" s="1">
        <v>38</v>
      </c>
      <c r="H32" s="1">
        <v>43</v>
      </c>
      <c r="I32" s="1">
        <v>30.2</v>
      </c>
      <c r="J32" s="6">
        <v>47.8</v>
      </c>
      <c r="K32" s="1">
        <v>0.8</v>
      </c>
      <c r="L32" s="6">
        <v>1.2</v>
      </c>
      <c r="M32" s="5">
        <v>0.21199999999999999</v>
      </c>
      <c r="N32" s="6">
        <v>0.251</v>
      </c>
      <c r="O32" s="1">
        <v>93</v>
      </c>
      <c r="P32" s="6">
        <v>90</v>
      </c>
      <c r="Q32" s="1" t="s">
        <v>38</v>
      </c>
      <c r="R32" s="1">
        <v>1</v>
      </c>
      <c r="S32" s="1" t="s">
        <v>35</v>
      </c>
      <c r="T32" s="6">
        <v>1</v>
      </c>
      <c r="U32" s="1">
        <v>0</v>
      </c>
      <c r="V32" s="1">
        <v>6</v>
      </c>
      <c r="W32" s="9" t="s">
        <v>25</v>
      </c>
    </row>
    <row r="33" spans="1:23" s="1" customFormat="1" x14ac:dyDescent="0.2">
      <c r="A33" s="10"/>
      <c r="B33" s="11"/>
      <c r="C33" s="11"/>
      <c r="D33" s="12" t="s">
        <v>45</v>
      </c>
      <c r="E33" s="11">
        <v>29.291</v>
      </c>
      <c r="F33" s="12">
        <v>29.292999999999999</v>
      </c>
      <c r="G33" s="10">
        <v>36.4</v>
      </c>
      <c r="H33" s="11">
        <v>38</v>
      </c>
      <c r="I33" s="11">
        <v>31</v>
      </c>
      <c r="J33" s="12">
        <v>46</v>
      </c>
      <c r="K33" s="10">
        <v>1.5</v>
      </c>
      <c r="L33" s="12">
        <v>1.6</v>
      </c>
      <c r="M33" s="11">
        <v>0.189</v>
      </c>
      <c r="N33" s="11">
        <v>0.2</v>
      </c>
      <c r="O33" s="10">
        <v>83.2</v>
      </c>
      <c r="P33" s="12">
        <v>83.9</v>
      </c>
      <c r="Q33" s="10" t="s">
        <v>25</v>
      </c>
      <c r="R33" s="11">
        <v>1.3</v>
      </c>
      <c r="S33" s="11" t="s">
        <v>25</v>
      </c>
      <c r="T33" s="12">
        <v>1.8</v>
      </c>
      <c r="U33" s="10">
        <v>5.6</v>
      </c>
      <c r="V33" s="12">
        <v>5.0999999999999996</v>
      </c>
      <c r="W33" s="13">
        <v>2.1619999999999999</v>
      </c>
    </row>
  </sheetData>
  <mergeCells count="8">
    <mergeCell ref="K3:L3"/>
    <mergeCell ref="M3:N3"/>
    <mergeCell ref="O3:P3"/>
    <mergeCell ref="E2:F2"/>
    <mergeCell ref="G2:J2"/>
    <mergeCell ref="K2:P2"/>
    <mergeCell ref="Q2:T2"/>
    <mergeCell ref="U2:V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E6BE9-1CB1-46BB-B103-F378C28219E9}">
  <dimension ref="A2:W34"/>
  <sheetViews>
    <sheetView topLeftCell="M1" workbookViewId="0">
      <selection activeCell="X34" sqref="X34"/>
    </sheetView>
  </sheetViews>
  <sheetFormatPr baseColWidth="10" defaultColWidth="8.83203125" defaultRowHeight="15" x14ac:dyDescent="0.2"/>
  <cols>
    <col min="1" max="1" width="14" customWidth="1"/>
  </cols>
  <sheetData>
    <row r="2" spans="1:23" s="2" customFormat="1" ht="32" x14ac:dyDescent="0.2">
      <c r="A2" s="14"/>
      <c r="B2" s="15"/>
      <c r="C2" s="15"/>
      <c r="D2" s="15"/>
      <c r="E2" s="31" t="s">
        <v>0</v>
      </c>
      <c r="F2" s="32"/>
      <c r="G2" s="33" t="s">
        <v>1</v>
      </c>
      <c r="H2" s="33"/>
      <c r="I2" s="33"/>
      <c r="J2" s="34"/>
      <c r="K2" s="29" t="s">
        <v>2</v>
      </c>
      <c r="L2" s="33"/>
      <c r="M2" s="33"/>
      <c r="N2" s="33"/>
      <c r="O2" s="33"/>
      <c r="P2" s="34"/>
      <c r="Q2" s="33" t="s">
        <v>3</v>
      </c>
      <c r="R2" s="33"/>
      <c r="S2" s="33"/>
      <c r="T2" s="34"/>
      <c r="U2" s="29" t="s">
        <v>4</v>
      </c>
      <c r="V2" s="30"/>
      <c r="W2" s="7" t="s">
        <v>5</v>
      </c>
    </row>
    <row r="3" spans="1:23" s="2" customFormat="1" x14ac:dyDescent="0.2">
      <c r="A3" s="3"/>
      <c r="E3" s="16"/>
      <c r="F3" s="17"/>
      <c r="J3" s="4"/>
      <c r="K3" s="35" t="s">
        <v>6</v>
      </c>
      <c r="L3" s="36"/>
      <c r="M3" s="35" t="s">
        <v>7</v>
      </c>
      <c r="N3" s="36"/>
      <c r="O3" s="37" t="s">
        <v>8</v>
      </c>
      <c r="P3" s="38"/>
      <c r="T3" s="4"/>
      <c r="V3" s="1"/>
      <c r="W3" s="18"/>
    </row>
    <row r="4" spans="1:23" s="2" customFormat="1" x14ac:dyDescent="0.2">
      <c r="A4" s="3" t="s">
        <v>9</v>
      </c>
      <c r="B4" s="2" t="s">
        <v>10</v>
      </c>
      <c r="C4" s="2" t="s">
        <v>11</v>
      </c>
      <c r="D4" s="2" t="s">
        <v>12</v>
      </c>
      <c r="E4" s="3" t="s">
        <v>13</v>
      </c>
      <c r="F4" s="4" t="s">
        <v>14</v>
      </c>
      <c r="G4" s="2" t="s">
        <v>13</v>
      </c>
      <c r="H4" s="2" t="s">
        <v>14</v>
      </c>
      <c r="I4" s="2" t="s">
        <v>15</v>
      </c>
      <c r="J4" s="4" t="s">
        <v>16</v>
      </c>
      <c r="K4" s="2" t="s">
        <v>13</v>
      </c>
      <c r="L4" s="4" t="s">
        <v>14</v>
      </c>
      <c r="M4" s="3" t="s">
        <v>13</v>
      </c>
      <c r="N4" s="4" t="s">
        <v>14</v>
      </c>
      <c r="O4" s="2" t="s">
        <v>13</v>
      </c>
      <c r="P4" s="4" t="s">
        <v>14</v>
      </c>
      <c r="Q4" s="2" t="s">
        <v>17</v>
      </c>
      <c r="R4" s="2" t="s">
        <v>18</v>
      </c>
      <c r="S4" s="2" t="s">
        <v>19</v>
      </c>
      <c r="T4" s="4" t="s">
        <v>20</v>
      </c>
      <c r="U4" s="2" t="s">
        <v>13</v>
      </c>
      <c r="V4" s="2" t="s">
        <v>14</v>
      </c>
      <c r="W4" s="8" t="s">
        <v>13</v>
      </c>
    </row>
    <row r="5" spans="1:23" s="1" customFormat="1" x14ac:dyDescent="0.2">
      <c r="A5" s="5" t="s">
        <v>53</v>
      </c>
      <c r="B5" s="1">
        <v>1899</v>
      </c>
      <c r="C5" s="1" t="s">
        <v>22</v>
      </c>
      <c r="D5" s="1">
        <v>1</v>
      </c>
      <c r="E5" s="5">
        <v>29.22</v>
      </c>
      <c r="F5" s="6">
        <v>29.2</v>
      </c>
      <c r="G5" s="1">
        <v>35</v>
      </c>
      <c r="H5" s="1">
        <v>35</v>
      </c>
      <c r="I5" s="1">
        <v>30.2</v>
      </c>
      <c r="J5" s="6">
        <v>43.3</v>
      </c>
      <c r="K5" s="1">
        <v>0.4</v>
      </c>
      <c r="L5" s="6">
        <v>1.2</v>
      </c>
      <c r="M5" s="5">
        <v>0.19600000000000001</v>
      </c>
      <c r="N5" s="6">
        <v>0.18</v>
      </c>
      <c r="O5" s="1">
        <v>95</v>
      </c>
      <c r="P5" s="6">
        <v>89</v>
      </c>
      <c r="Q5" s="1" t="s">
        <v>29</v>
      </c>
      <c r="R5" s="1">
        <v>1</v>
      </c>
      <c r="S5" s="1" t="s">
        <v>28</v>
      </c>
      <c r="T5" s="6">
        <v>4</v>
      </c>
      <c r="U5" s="1">
        <v>10</v>
      </c>
      <c r="V5" s="1">
        <v>5</v>
      </c>
      <c r="W5" s="9">
        <v>0.125</v>
      </c>
    </row>
    <row r="6" spans="1:23" s="1" customFormat="1" x14ac:dyDescent="0.2">
      <c r="A6" s="5" t="s">
        <v>53</v>
      </c>
      <c r="B6" s="1">
        <v>1899</v>
      </c>
      <c r="C6" s="1" t="s">
        <v>22</v>
      </c>
      <c r="D6" s="1">
        <v>2</v>
      </c>
      <c r="E6" s="5">
        <v>29.3</v>
      </c>
      <c r="F6" s="6">
        <v>29.38</v>
      </c>
      <c r="G6" s="1">
        <v>33.5</v>
      </c>
      <c r="H6" s="1">
        <v>37.799999999999997</v>
      </c>
      <c r="I6" s="1">
        <v>30</v>
      </c>
      <c r="J6" s="6">
        <v>43</v>
      </c>
      <c r="K6" s="1">
        <v>0.5</v>
      </c>
      <c r="L6" s="6">
        <v>4</v>
      </c>
      <c r="M6" s="5">
        <v>0.182</v>
      </c>
      <c r="N6" s="6">
        <v>0.156</v>
      </c>
      <c r="O6" s="1">
        <v>94</v>
      </c>
      <c r="P6" s="6">
        <v>69</v>
      </c>
      <c r="Q6" s="1" t="s">
        <v>24</v>
      </c>
      <c r="R6" s="1">
        <v>3</v>
      </c>
      <c r="S6" s="1" t="s">
        <v>24</v>
      </c>
      <c r="T6" s="6">
        <v>2</v>
      </c>
      <c r="U6" s="1">
        <v>7</v>
      </c>
      <c r="V6" s="1">
        <v>6</v>
      </c>
      <c r="W6" s="9">
        <v>0.314</v>
      </c>
    </row>
    <row r="7" spans="1:23" s="1" customFormat="1" x14ac:dyDescent="0.2">
      <c r="A7" s="5" t="s">
        <v>53</v>
      </c>
      <c r="B7" s="1">
        <v>1899</v>
      </c>
      <c r="C7" s="1" t="s">
        <v>22</v>
      </c>
      <c r="D7" s="1">
        <v>3</v>
      </c>
      <c r="E7" s="5">
        <v>29.57</v>
      </c>
      <c r="F7" s="6">
        <v>29.66</v>
      </c>
      <c r="G7" s="1">
        <v>35</v>
      </c>
      <c r="H7" s="1">
        <v>34.799999999999997</v>
      </c>
      <c r="I7" s="1">
        <v>32</v>
      </c>
      <c r="J7" s="6">
        <v>40</v>
      </c>
      <c r="K7" s="1">
        <v>1</v>
      </c>
      <c r="L7" s="6">
        <v>0.8</v>
      </c>
      <c r="M7" s="5">
        <v>0.184</v>
      </c>
      <c r="N7" s="6">
        <v>0.185</v>
      </c>
      <c r="O7" s="1">
        <v>90</v>
      </c>
      <c r="P7" s="6">
        <v>92</v>
      </c>
      <c r="Q7" s="1" t="s">
        <v>24</v>
      </c>
      <c r="R7" s="1">
        <v>1</v>
      </c>
      <c r="S7" s="1" t="s">
        <v>24</v>
      </c>
      <c r="T7" s="6">
        <v>2</v>
      </c>
      <c r="U7" s="1">
        <v>7</v>
      </c>
      <c r="V7" s="1">
        <v>6</v>
      </c>
      <c r="W7" s="9" t="s">
        <v>25</v>
      </c>
    </row>
    <row r="8" spans="1:23" s="1" customFormat="1" x14ac:dyDescent="0.2">
      <c r="A8" s="5" t="s">
        <v>53</v>
      </c>
      <c r="B8" s="1">
        <v>1899</v>
      </c>
      <c r="C8" s="1" t="s">
        <v>22</v>
      </c>
      <c r="D8" s="1">
        <v>4</v>
      </c>
      <c r="E8" s="5">
        <v>29.72</v>
      </c>
      <c r="F8" s="6">
        <v>29.51</v>
      </c>
      <c r="G8" s="1">
        <v>32</v>
      </c>
      <c r="H8" s="1">
        <v>32</v>
      </c>
      <c r="I8" s="1">
        <v>28.7</v>
      </c>
      <c r="J8" s="6">
        <v>39</v>
      </c>
      <c r="K8" s="1">
        <v>1</v>
      </c>
      <c r="L8" s="6">
        <v>0.3</v>
      </c>
      <c r="M8" s="5">
        <v>0.158</v>
      </c>
      <c r="N8" s="6">
        <v>0.17399999999999999</v>
      </c>
      <c r="O8" s="1">
        <v>87</v>
      </c>
      <c r="P8" s="6">
        <v>96</v>
      </c>
      <c r="Q8" s="1" t="s">
        <v>35</v>
      </c>
      <c r="R8" s="1">
        <v>2</v>
      </c>
      <c r="S8" s="1" t="s">
        <v>35</v>
      </c>
      <c r="T8" s="6">
        <v>3</v>
      </c>
      <c r="U8" s="1">
        <v>1</v>
      </c>
      <c r="V8" s="1">
        <v>10</v>
      </c>
      <c r="W8" s="9" t="s">
        <v>25</v>
      </c>
    </row>
    <row r="9" spans="1:23" s="1" customFormat="1" x14ac:dyDescent="0.2">
      <c r="A9" s="5" t="s">
        <v>53</v>
      </c>
      <c r="B9" s="1">
        <v>1899</v>
      </c>
      <c r="C9" s="1" t="s">
        <v>22</v>
      </c>
      <c r="D9" s="1">
        <v>5</v>
      </c>
      <c r="E9" s="5">
        <v>29.37</v>
      </c>
      <c r="F9" s="6">
        <v>29.61</v>
      </c>
      <c r="G9" s="1">
        <v>35.799999999999997</v>
      </c>
      <c r="H9" s="1">
        <v>37.9</v>
      </c>
      <c r="I9" s="1">
        <v>30.9</v>
      </c>
      <c r="J9" s="6">
        <v>40.1</v>
      </c>
      <c r="K9" s="1">
        <v>0.8</v>
      </c>
      <c r="L9" s="6">
        <v>4.0999999999999996</v>
      </c>
      <c r="M9" s="5">
        <v>0.19400000000000001</v>
      </c>
      <c r="N9" s="6">
        <v>0.155</v>
      </c>
      <c r="O9" s="1">
        <v>93</v>
      </c>
      <c r="P9" s="6">
        <v>68</v>
      </c>
      <c r="Q9" s="1" t="s">
        <v>36</v>
      </c>
      <c r="R9" s="1">
        <v>0</v>
      </c>
      <c r="S9" s="1" t="s">
        <v>47</v>
      </c>
      <c r="T9" s="6">
        <v>3</v>
      </c>
      <c r="U9" s="1">
        <v>10</v>
      </c>
      <c r="V9" s="1">
        <v>10</v>
      </c>
      <c r="W9" s="9" t="s">
        <v>25</v>
      </c>
    </row>
    <row r="10" spans="1:23" s="1" customFormat="1" x14ac:dyDescent="0.2">
      <c r="A10" s="5" t="s">
        <v>53</v>
      </c>
      <c r="B10" s="1">
        <v>1899</v>
      </c>
      <c r="C10" s="1" t="s">
        <v>22</v>
      </c>
      <c r="D10" s="1">
        <v>6</v>
      </c>
      <c r="E10" s="5">
        <v>29.66</v>
      </c>
      <c r="F10" s="6">
        <v>29.58</v>
      </c>
      <c r="G10" s="1">
        <v>36</v>
      </c>
      <c r="H10" s="1">
        <v>33</v>
      </c>
      <c r="I10" s="1">
        <v>32</v>
      </c>
      <c r="J10" s="6">
        <v>37.9</v>
      </c>
      <c r="K10" s="1">
        <v>3</v>
      </c>
      <c r="L10" s="6">
        <v>0.2</v>
      </c>
      <c r="M10" s="5">
        <v>0.156</v>
      </c>
      <c r="N10" s="6">
        <v>0.184</v>
      </c>
      <c r="O10" s="1">
        <v>74</v>
      </c>
      <c r="P10" s="6">
        <v>97</v>
      </c>
      <c r="Q10" s="1" t="s">
        <v>31</v>
      </c>
      <c r="R10" s="1">
        <v>4</v>
      </c>
      <c r="S10" s="1" t="s">
        <v>31</v>
      </c>
      <c r="T10" s="6">
        <v>1</v>
      </c>
      <c r="U10" s="1">
        <v>10</v>
      </c>
      <c r="V10" s="1">
        <v>10</v>
      </c>
      <c r="W10" s="9">
        <v>0.14099999999999999</v>
      </c>
    </row>
    <row r="11" spans="1:23" s="1" customFormat="1" x14ac:dyDescent="0.2">
      <c r="A11" s="5" t="s">
        <v>53</v>
      </c>
      <c r="B11" s="1">
        <v>1899</v>
      </c>
      <c r="C11" s="1" t="s">
        <v>22</v>
      </c>
      <c r="D11" s="1">
        <v>7</v>
      </c>
      <c r="E11" s="5">
        <v>29.25</v>
      </c>
      <c r="F11" s="6">
        <v>29.16</v>
      </c>
      <c r="G11" s="1">
        <v>38.6</v>
      </c>
      <c r="H11" s="1">
        <v>42.7</v>
      </c>
      <c r="I11" s="1">
        <v>31.3</v>
      </c>
      <c r="J11" s="6">
        <v>43.7</v>
      </c>
      <c r="K11" s="1">
        <v>0.8</v>
      </c>
      <c r="L11" s="6">
        <v>0.8</v>
      </c>
      <c r="M11" s="5">
        <v>0.218</v>
      </c>
      <c r="N11" s="6">
        <v>0.25600000000000001</v>
      </c>
      <c r="O11" s="1">
        <v>93</v>
      </c>
      <c r="P11" s="6">
        <v>94</v>
      </c>
      <c r="Q11" s="1" t="s">
        <v>36</v>
      </c>
      <c r="R11" s="1">
        <v>0</v>
      </c>
      <c r="S11" s="1" t="s">
        <v>31</v>
      </c>
      <c r="T11" s="6">
        <v>1</v>
      </c>
      <c r="U11" s="1">
        <v>10</v>
      </c>
      <c r="V11" s="1">
        <v>7</v>
      </c>
      <c r="W11" s="9">
        <v>0.3</v>
      </c>
    </row>
    <row r="12" spans="1:23" s="1" customFormat="1" x14ac:dyDescent="0.2">
      <c r="A12" s="5" t="s">
        <v>53</v>
      </c>
      <c r="B12" s="1">
        <v>1899</v>
      </c>
      <c r="C12" s="1" t="s">
        <v>22</v>
      </c>
      <c r="D12" s="1">
        <v>8</v>
      </c>
      <c r="E12" s="5">
        <v>29.09</v>
      </c>
      <c r="F12" s="6">
        <v>28.94</v>
      </c>
      <c r="G12" s="1">
        <v>44</v>
      </c>
      <c r="H12" s="1">
        <v>51</v>
      </c>
      <c r="I12" s="1">
        <v>38.6</v>
      </c>
      <c r="J12" s="6">
        <v>52.1</v>
      </c>
      <c r="K12" s="1">
        <v>1</v>
      </c>
      <c r="L12" s="6">
        <v>0.9</v>
      </c>
      <c r="M12" s="5">
        <v>0.26500000000000001</v>
      </c>
      <c r="N12" s="6">
        <v>0.35099999999999998</v>
      </c>
      <c r="O12" s="1">
        <v>92</v>
      </c>
      <c r="P12" s="6">
        <v>94</v>
      </c>
      <c r="Q12" s="1" t="s">
        <v>35</v>
      </c>
      <c r="R12" s="1">
        <v>2</v>
      </c>
      <c r="S12" s="1" t="s">
        <v>38</v>
      </c>
      <c r="T12" s="6">
        <v>3</v>
      </c>
      <c r="U12" s="1">
        <v>1</v>
      </c>
      <c r="V12" s="1">
        <v>10</v>
      </c>
      <c r="W12" s="9" t="s">
        <v>25</v>
      </c>
    </row>
    <row r="13" spans="1:23" s="1" customFormat="1" x14ac:dyDescent="0.2">
      <c r="A13" s="5" t="s">
        <v>53</v>
      </c>
      <c r="B13" s="1">
        <v>1899</v>
      </c>
      <c r="C13" s="1" t="s">
        <v>22</v>
      </c>
      <c r="D13" s="1">
        <v>9</v>
      </c>
      <c r="E13" s="5">
        <v>29.03</v>
      </c>
      <c r="F13" s="6">
        <v>28.91</v>
      </c>
      <c r="G13" s="1">
        <v>49.3</v>
      </c>
      <c r="H13" s="1">
        <v>52</v>
      </c>
      <c r="I13" s="1">
        <v>45</v>
      </c>
      <c r="J13" s="6">
        <v>52</v>
      </c>
      <c r="K13" s="1">
        <v>1.4</v>
      </c>
      <c r="L13" s="6">
        <v>1.8</v>
      </c>
      <c r="M13" s="5">
        <v>0.316</v>
      </c>
      <c r="N13" s="6">
        <v>0.34</v>
      </c>
      <c r="O13" s="1">
        <v>90</v>
      </c>
      <c r="P13" s="6">
        <v>88</v>
      </c>
      <c r="Q13" s="1" t="s">
        <v>38</v>
      </c>
      <c r="R13" s="1">
        <v>4</v>
      </c>
      <c r="S13" s="1" t="s">
        <v>35</v>
      </c>
      <c r="T13" s="6">
        <v>5</v>
      </c>
      <c r="U13" s="1">
        <v>7</v>
      </c>
      <c r="V13" s="1">
        <v>10</v>
      </c>
      <c r="W13" s="9">
        <v>7.4999999999999997E-2</v>
      </c>
    </row>
    <row r="14" spans="1:23" s="1" customFormat="1" x14ac:dyDescent="0.2">
      <c r="A14" s="5" t="s">
        <v>53</v>
      </c>
      <c r="B14" s="1">
        <v>1899</v>
      </c>
      <c r="C14" s="1" t="s">
        <v>22</v>
      </c>
      <c r="D14" s="1">
        <v>10</v>
      </c>
      <c r="E14" s="5">
        <v>29.04</v>
      </c>
      <c r="F14" s="6">
        <v>29.26</v>
      </c>
      <c r="G14" s="1">
        <v>53.2</v>
      </c>
      <c r="H14" s="1">
        <v>49</v>
      </c>
      <c r="I14" s="1">
        <v>47.8</v>
      </c>
      <c r="J14" s="6">
        <v>57.3</v>
      </c>
      <c r="K14" s="1">
        <v>1.3</v>
      </c>
      <c r="L14" s="6">
        <v>1.3</v>
      </c>
      <c r="M14" s="5">
        <v>0.36899999999999999</v>
      </c>
      <c r="N14" s="6">
        <v>0.315</v>
      </c>
      <c r="O14" s="1">
        <v>91</v>
      </c>
      <c r="P14" s="6">
        <v>90</v>
      </c>
      <c r="Q14" s="1" t="s">
        <v>35</v>
      </c>
      <c r="R14" s="1">
        <v>3</v>
      </c>
      <c r="S14" s="1" t="s">
        <v>35</v>
      </c>
      <c r="T14" s="6">
        <v>3</v>
      </c>
      <c r="U14" s="1">
        <v>7</v>
      </c>
      <c r="V14" s="1">
        <v>3</v>
      </c>
      <c r="W14" s="9" t="s">
        <v>25</v>
      </c>
    </row>
    <row r="15" spans="1:23" s="1" customFormat="1" x14ac:dyDescent="0.2">
      <c r="A15" s="5" t="s">
        <v>53</v>
      </c>
      <c r="B15" s="1">
        <v>1899</v>
      </c>
      <c r="C15" s="1" t="s">
        <v>22</v>
      </c>
      <c r="D15" s="1">
        <v>11</v>
      </c>
      <c r="E15" s="5">
        <v>29.18</v>
      </c>
      <c r="F15" s="6">
        <v>28.9</v>
      </c>
      <c r="G15" s="1">
        <v>48</v>
      </c>
      <c r="H15" s="1">
        <v>51.9</v>
      </c>
      <c r="I15" s="1">
        <v>43.9</v>
      </c>
      <c r="J15" s="6">
        <v>57.2</v>
      </c>
      <c r="K15" s="1">
        <v>4</v>
      </c>
      <c r="L15" s="6">
        <v>1.8</v>
      </c>
      <c r="M15" s="5">
        <v>0.24299999999999999</v>
      </c>
      <c r="N15" s="6">
        <v>0.33900000000000002</v>
      </c>
      <c r="O15" s="1">
        <v>73</v>
      </c>
      <c r="P15" s="6">
        <v>88</v>
      </c>
      <c r="Q15" s="1" t="s">
        <v>38</v>
      </c>
      <c r="R15" s="1">
        <v>6</v>
      </c>
      <c r="S15" s="1" t="s">
        <v>39</v>
      </c>
      <c r="T15" s="6">
        <v>4</v>
      </c>
      <c r="U15" s="1">
        <v>3</v>
      </c>
      <c r="V15" s="1">
        <v>10</v>
      </c>
      <c r="W15" s="9">
        <v>9.5000000000000001E-2</v>
      </c>
    </row>
    <row r="16" spans="1:23" s="1" customFormat="1" x14ac:dyDescent="0.2">
      <c r="A16" s="5" t="s">
        <v>53</v>
      </c>
      <c r="B16" s="1">
        <v>1899</v>
      </c>
      <c r="C16" s="1" t="s">
        <v>22</v>
      </c>
      <c r="D16" s="1">
        <v>12</v>
      </c>
      <c r="E16" s="5">
        <v>28.82</v>
      </c>
      <c r="F16" s="6">
        <v>28.99</v>
      </c>
      <c r="G16" s="1">
        <v>45.9</v>
      </c>
      <c r="H16" s="1">
        <v>40.9</v>
      </c>
      <c r="I16" s="1">
        <v>37.1</v>
      </c>
      <c r="J16" s="6">
        <v>51.9</v>
      </c>
      <c r="K16" s="1">
        <v>1</v>
      </c>
      <c r="L16" s="6">
        <v>0.3</v>
      </c>
      <c r="M16" s="5">
        <v>0.28599999999999998</v>
      </c>
      <c r="N16" s="6">
        <v>0.249</v>
      </c>
      <c r="O16" s="1">
        <v>92</v>
      </c>
      <c r="P16" s="6">
        <v>98</v>
      </c>
      <c r="Q16" s="1" t="s">
        <v>38</v>
      </c>
      <c r="R16" s="1">
        <v>2</v>
      </c>
      <c r="S16" s="1" t="s">
        <v>38</v>
      </c>
      <c r="T16" s="6">
        <v>4</v>
      </c>
      <c r="U16" s="1">
        <v>8</v>
      </c>
      <c r="V16" s="1">
        <v>1</v>
      </c>
      <c r="W16" s="9">
        <v>3.0000000000000001E-3</v>
      </c>
    </row>
    <row r="17" spans="1:23" s="1" customFormat="1" x14ac:dyDescent="0.2">
      <c r="A17" s="5" t="s">
        <v>53</v>
      </c>
      <c r="B17" s="1">
        <v>1899</v>
      </c>
      <c r="C17" s="1" t="s">
        <v>22</v>
      </c>
      <c r="D17" s="1">
        <v>13</v>
      </c>
      <c r="E17" s="5">
        <v>28.89</v>
      </c>
      <c r="F17" s="6">
        <v>28.78</v>
      </c>
      <c r="G17" s="1">
        <v>47</v>
      </c>
      <c r="H17" s="1">
        <v>45.6</v>
      </c>
      <c r="I17" s="1">
        <v>36.200000000000003</v>
      </c>
      <c r="J17" s="6">
        <v>50</v>
      </c>
      <c r="K17" s="1">
        <v>1.3</v>
      </c>
      <c r="L17" s="6">
        <v>0.6</v>
      </c>
      <c r="M17" s="5">
        <v>0.29199999999999998</v>
      </c>
      <c r="N17" s="6">
        <v>0.29199999999999998</v>
      </c>
      <c r="O17" s="1">
        <v>90</v>
      </c>
      <c r="P17" s="6">
        <v>95</v>
      </c>
      <c r="Q17" s="1" t="s">
        <v>38</v>
      </c>
      <c r="R17" s="1">
        <v>2</v>
      </c>
      <c r="S17" s="1" t="s">
        <v>35</v>
      </c>
      <c r="T17" s="6">
        <v>3</v>
      </c>
      <c r="U17" s="1">
        <v>10</v>
      </c>
      <c r="V17" s="1">
        <v>8</v>
      </c>
      <c r="W17" s="9">
        <v>1.4999999999999999E-2</v>
      </c>
    </row>
    <row r="18" spans="1:23" s="1" customFormat="1" x14ac:dyDescent="0.2">
      <c r="A18" s="5" t="s">
        <v>53</v>
      </c>
      <c r="B18" s="1">
        <v>1899</v>
      </c>
      <c r="C18" s="1" t="s">
        <v>22</v>
      </c>
      <c r="D18" s="1">
        <v>14</v>
      </c>
      <c r="E18" s="5">
        <v>29.01</v>
      </c>
      <c r="F18" s="6">
        <v>29.37</v>
      </c>
      <c r="G18" s="1">
        <v>45</v>
      </c>
      <c r="H18" s="1">
        <v>41.2</v>
      </c>
      <c r="I18" s="1">
        <v>35.200000000000003</v>
      </c>
      <c r="J18" s="6">
        <v>49.3</v>
      </c>
      <c r="K18" s="1">
        <v>0.8</v>
      </c>
      <c r="L18" s="6">
        <v>0.7</v>
      </c>
      <c r="M18" s="5">
        <v>0.28000000000000003</v>
      </c>
      <c r="N18" s="6">
        <v>0.24399999999999999</v>
      </c>
      <c r="O18" s="1">
        <v>94</v>
      </c>
      <c r="P18" s="6">
        <v>95</v>
      </c>
      <c r="Q18" s="1" t="s">
        <v>35</v>
      </c>
      <c r="R18" s="1">
        <v>4</v>
      </c>
      <c r="S18" s="1" t="s">
        <v>35</v>
      </c>
      <c r="T18" s="6">
        <v>2</v>
      </c>
      <c r="U18" s="1">
        <v>1</v>
      </c>
      <c r="V18" s="1">
        <v>2</v>
      </c>
      <c r="W18" s="9" t="s">
        <v>25</v>
      </c>
    </row>
    <row r="19" spans="1:23" s="1" customFormat="1" x14ac:dyDescent="0.2">
      <c r="A19" s="5" t="s">
        <v>53</v>
      </c>
      <c r="B19" s="1">
        <v>1899</v>
      </c>
      <c r="C19" s="1" t="s">
        <v>22</v>
      </c>
      <c r="D19" s="1">
        <v>15</v>
      </c>
      <c r="E19" s="5">
        <v>29.47</v>
      </c>
      <c r="F19" s="6">
        <v>29.55</v>
      </c>
      <c r="G19" s="1">
        <v>39.799999999999997</v>
      </c>
      <c r="H19" s="1">
        <v>43.2</v>
      </c>
      <c r="I19" s="1">
        <v>36</v>
      </c>
      <c r="J19" s="6">
        <v>43.8</v>
      </c>
      <c r="K19" s="1">
        <v>0.4</v>
      </c>
      <c r="L19" s="6">
        <v>1.3</v>
      </c>
      <c r="M19" s="5">
        <v>0.23799999999999999</v>
      </c>
      <c r="N19" s="6">
        <v>0.25</v>
      </c>
      <c r="O19" s="1">
        <v>97</v>
      </c>
      <c r="P19" s="6">
        <v>89</v>
      </c>
      <c r="Q19" s="1" t="s">
        <v>38</v>
      </c>
      <c r="R19" s="1">
        <v>3</v>
      </c>
      <c r="S19" s="1" t="s">
        <v>36</v>
      </c>
      <c r="T19" s="6">
        <v>0</v>
      </c>
      <c r="U19" s="1">
        <v>7</v>
      </c>
      <c r="V19" s="1">
        <v>10</v>
      </c>
      <c r="W19" s="9">
        <v>4.7E-2</v>
      </c>
    </row>
    <row r="20" spans="1:23" s="1" customFormat="1" x14ac:dyDescent="0.2">
      <c r="A20" s="5" t="s">
        <v>53</v>
      </c>
      <c r="B20" s="1">
        <v>1899</v>
      </c>
      <c r="C20" s="1" t="s">
        <v>22</v>
      </c>
      <c r="D20" s="1">
        <v>16</v>
      </c>
      <c r="E20" s="5">
        <v>29.59</v>
      </c>
      <c r="F20" s="6">
        <v>29.69</v>
      </c>
      <c r="G20" s="1">
        <v>37.799999999999997</v>
      </c>
      <c r="H20" s="1">
        <v>40.1</v>
      </c>
      <c r="I20" s="1">
        <v>36.299999999999997</v>
      </c>
      <c r="J20" s="6">
        <v>47.6</v>
      </c>
      <c r="K20" s="1">
        <v>1.6</v>
      </c>
      <c r="L20" s="6">
        <v>1.6</v>
      </c>
      <c r="M20" s="5">
        <v>0.19600000000000001</v>
      </c>
      <c r="N20" s="6">
        <v>0.216</v>
      </c>
      <c r="O20" s="1">
        <v>86</v>
      </c>
      <c r="P20" s="6">
        <v>87</v>
      </c>
      <c r="Q20" s="1" t="s">
        <v>39</v>
      </c>
      <c r="R20" s="1">
        <v>2</v>
      </c>
      <c r="S20" s="1" t="s">
        <v>38</v>
      </c>
      <c r="T20" s="6">
        <v>1</v>
      </c>
      <c r="U20" s="1">
        <v>4</v>
      </c>
      <c r="V20" s="1">
        <v>7</v>
      </c>
      <c r="W20" s="9" t="s">
        <v>25</v>
      </c>
    </row>
    <row r="21" spans="1:23" s="1" customFormat="1" x14ac:dyDescent="0.2">
      <c r="A21" s="5" t="s">
        <v>53</v>
      </c>
      <c r="B21" s="1">
        <v>1899</v>
      </c>
      <c r="C21" s="1" t="s">
        <v>22</v>
      </c>
      <c r="D21" s="1">
        <v>17</v>
      </c>
      <c r="E21" s="5">
        <v>29.74</v>
      </c>
      <c r="F21" s="6">
        <v>29.82</v>
      </c>
      <c r="G21" s="1">
        <v>40</v>
      </c>
      <c r="H21" s="1">
        <v>45</v>
      </c>
      <c r="I21" s="1">
        <v>36.9</v>
      </c>
      <c r="J21" s="6">
        <v>50</v>
      </c>
      <c r="K21" s="1">
        <v>0.7</v>
      </c>
      <c r="L21" s="6">
        <v>4.8</v>
      </c>
      <c r="M21" s="5">
        <v>0.23200000000000001</v>
      </c>
      <c r="N21" s="6">
        <v>0.20100000000000001</v>
      </c>
      <c r="O21" s="1">
        <v>95</v>
      </c>
      <c r="P21" s="6">
        <v>67</v>
      </c>
      <c r="Q21" s="1" t="s">
        <v>38</v>
      </c>
      <c r="R21" s="1">
        <v>4</v>
      </c>
      <c r="S21" s="1" t="s">
        <v>38</v>
      </c>
      <c r="T21" s="6">
        <v>2</v>
      </c>
      <c r="U21" s="1">
        <v>2</v>
      </c>
      <c r="V21" s="1">
        <v>1</v>
      </c>
      <c r="W21" s="9" t="s">
        <v>25</v>
      </c>
    </row>
    <row r="22" spans="1:23" s="1" customFormat="1" x14ac:dyDescent="0.2">
      <c r="A22" s="5" t="s">
        <v>53</v>
      </c>
      <c r="B22" s="1">
        <v>1899</v>
      </c>
      <c r="C22" s="1" t="s">
        <v>22</v>
      </c>
      <c r="D22" s="1">
        <v>18</v>
      </c>
      <c r="E22" s="5">
        <v>29.82</v>
      </c>
      <c r="F22" s="6">
        <v>29.75</v>
      </c>
      <c r="G22" s="1">
        <v>40</v>
      </c>
      <c r="H22" s="1">
        <v>43.7</v>
      </c>
      <c r="I22" s="1">
        <v>37</v>
      </c>
      <c r="J22" s="6">
        <v>47.3</v>
      </c>
      <c r="K22" s="1">
        <v>0.4</v>
      </c>
      <c r="L22" s="6">
        <v>3.7</v>
      </c>
      <c r="M22" s="5">
        <v>0.23799999999999999</v>
      </c>
      <c r="N22" s="6">
        <v>0.20899999999999999</v>
      </c>
      <c r="O22" s="1">
        <v>97</v>
      </c>
      <c r="P22" s="6">
        <v>73</v>
      </c>
      <c r="Q22" s="1" t="s">
        <v>38</v>
      </c>
      <c r="R22" s="1">
        <v>3</v>
      </c>
      <c r="S22" s="1" t="s">
        <v>36</v>
      </c>
      <c r="T22" s="6">
        <v>0</v>
      </c>
      <c r="U22" s="1">
        <v>10</v>
      </c>
      <c r="V22" s="1">
        <v>10</v>
      </c>
      <c r="W22" s="9" t="s">
        <v>25</v>
      </c>
    </row>
    <row r="23" spans="1:23" s="1" customFormat="1" x14ac:dyDescent="0.2">
      <c r="A23" s="5" t="s">
        <v>53</v>
      </c>
      <c r="B23" s="1">
        <v>1899</v>
      </c>
      <c r="C23" s="1" t="s">
        <v>22</v>
      </c>
      <c r="D23" s="1">
        <v>19</v>
      </c>
      <c r="E23" s="5">
        <v>29.92</v>
      </c>
      <c r="F23" s="6">
        <v>30.02</v>
      </c>
      <c r="G23" s="1">
        <v>44.9</v>
      </c>
      <c r="H23" s="1">
        <v>42</v>
      </c>
      <c r="I23" s="1">
        <v>38</v>
      </c>
      <c r="J23" s="6">
        <v>48</v>
      </c>
      <c r="K23" s="1">
        <v>1.9</v>
      </c>
      <c r="L23" s="6">
        <v>1.2</v>
      </c>
      <c r="M23" s="5">
        <v>0.255</v>
      </c>
      <c r="N23" s="6">
        <v>0.24099999999999999</v>
      </c>
      <c r="O23" s="1">
        <v>86</v>
      </c>
      <c r="P23" s="6">
        <v>90</v>
      </c>
      <c r="Q23" s="1" t="s">
        <v>44</v>
      </c>
      <c r="R23" s="1">
        <v>3</v>
      </c>
      <c r="S23" s="1" t="s">
        <v>29</v>
      </c>
      <c r="T23" s="6">
        <v>3</v>
      </c>
      <c r="U23" s="1">
        <v>10</v>
      </c>
      <c r="V23" s="1">
        <v>10</v>
      </c>
      <c r="W23" s="9" t="s">
        <v>25</v>
      </c>
    </row>
    <row r="24" spans="1:23" s="1" customFormat="1" x14ac:dyDescent="0.2">
      <c r="A24" s="5" t="s">
        <v>53</v>
      </c>
      <c r="B24" s="1">
        <v>1899</v>
      </c>
      <c r="C24" s="1" t="s">
        <v>22</v>
      </c>
      <c r="D24" s="1">
        <v>20</v>
      </c>
      <c r="E24" s="5">
        <v>30.12</v>
      </c>
      <c r="F24" s="6">
        <v>30.15</v>
      </c>
      <c r="G24" s="1">
        <v>42.4</v>
      </c>
      <c r="H24" s="1">
        <v>40.9</v>
      </c>
      <c r="I24" s="1">
        <v>38.1</v>
      </c>
      <c r="J24" s="6">
        <v>47.3</v>
      </c>
      <c r="K24" s="1">
        <v>0.5</v>
      </c>
      <c r="L24" s="6">
        <v>0.9</v>
      </c>
      <c r="M24" s="5">
        <v>0.26</v>
      </c>
      <c r="N24" s="6">
        <v>0.23699999999999999</v>
      </c>
      <c r="O24" s="1">
        <v>96</v>
      </c>
      <c r="P24" s="6">
        <v>93</v>
      </c>
      <c r="Q24" s="1" t="s">
        <v>47</v>
      </c>
      <c r="R24" s="1">
        <v>3</v>
      </c>
      <c r="S24" s="1" t="s">
        <v>47</v>
      </c>
      <c r="T24" s="6">
        <v>3</v>
      </c>
      <c r="U24" s="1">
        <v>10</v>
      </c>
      <c r="V24" s="1">
        <v>7</v>
      </c>
      <c r="W24" s="9" t="s">
        <v>25</v>
      </c>
    </row>
    <row r="25" spans="1:23" s="1" customFormat="1" x14ac:dyDescent="0.2">
      <c r="A25" s="5" t="s">
        <v>53</v>
      </c>
      <c r="B25" s="1">
        <v>1899</v>
      </c>
      <c r="C25" s="1" t="s">
        <v>22</v>
      </c>
      <c r="D25" s="1">
        <v>21</v>
      </c>
      <c r="E25" s="5">
        <v>30.21</v>
      </c>
      <c r="F25" s="6">
        <v>30.22</v>
      </c>
      <c r="G25" s="1">
        <v>41.2</v>
      </c>
      <c r="H25" s="1">
        <v>36.9</v>
      </c>
      <c r="I25" s="1">
        <v>35.700000000000003</v>
      </c>
      <c r="J25" s="6">
        <v>44.3</v>
      </c>
      <c r="K25" s="1">
        <v>0.6</v>
      </c>
      <c r="L25" s="6">
        <v>1.9</v>
      </c>
      <c r="M25" s="5">
        <v>0.245</v>
      </c>
      <c r="N25" s="6">
        <v>0.183</v>
      </c>
      <c r="O25" s="1">
        <v>95</v>
      </c>
      <c r="P25" s="6">
        <v>84</v>
      </c>
      <c r="Q25" s="1" t="s">
        <v>31</v>
      </c>
      <c r="R25" s="1">
        <v>3</v>
      </c>
      <c r="S25" s="1" t="s">
        <v>38</v>
      </c>
      <c r="T25" s="6">
        <v>1</v>
      </c>
      <c r="U25" s="1">
        <v>5</v>
      </c>
      <c r="V25" s="1">
        <v>1</v>
      </c>
      <c r="W25" s="9" t="s">
        <v>25</v>
      </c>
    </row>
    <row r="26" spans="1:23" s="1" customFormat="1" x14ac:dyDescent="0.2">
      <c r="A26" s="5" t="s">
        <v>53</v>
      </c>
      <c r="B26" s="1">
        <v>1899</v>
      </c>
      <c r="C26" s="1" t="s">
        <v>22</v>
      </c>
      <c r="D26" s="1">
        <v>22</v>
      </c>
      <c r="E26" s="5">
        <v>30.19</v>
      </c>
      <c r="F26" s="6">
        <v>30.13</v>
      </c>
      <c r="G26" s="1">
        <v>40</v>
      </c>
      <c r="H26" s="1">
        <v>38</v>
      </c>
      <c r="I26" s="1">
        <v>38.9</v>
      </c>
      <c r="J26" s="6">
        <v>50.6</v>
      </c>
      <c r="K26" s="1">
        <v>0.8</v>
      </c>
      <c r="L26" s="6">
        <v>2.4</v>
      </c>
      <c r="M26" s="5">
        <v>0.23100000000000001</v>
      </c>
      <c r="N26" s="6">
        <v>0.184</v>
      </c>
      <c r="O26" s="1">
        <v>94</v>
      </c>
      <c r="P26" s="6">
        <v>80</v>
      </c>
      <c r="Q26" s="1" t="s">
        <v>32</v>
      </c>
      <c r="R26" s="1">
        <v>2</v>
      </c>
      <c r="S26" s="1" t="s">
        <v>38</v>
      </c>
      <c r="T26" s="6">
        <v>1</v>
      </c>
      <c r="U26" s="1">
        <v>1</v>
      </c>
      <c r="V26" s="1">
        <v>2</v>
      </c>
      <c r="W26" s="9" t="s">
        <v>25</v>
      </c>
    </row>
    <row r="27" spans="1:23" s="1" customFormat="1" x14ac:dyDescent="0.2">
      <c r="A27" s="5" t="s">
        <v>53</v>
      </c>
      <c r="B27" s="1">
        <v>1899</v>
      </c>
      <c r="C27" s="1" t="s">
        <v>22</v>
      </c>
      <c r="D27" s="1">
        <v>23</v>
      </c>
      <c r="E27" s="5">
        <v>30.07</v>
      </c>
      <c r="F27" s="6">
        <v>30.04</v>
      </c>
      <c r="G27" s="1">
        <v>39</v>
      </c>
      <c r="H27" s="1">
        <v>39</v>
      </c>
      <c r="I27" s="1">
        <v>29.7</v>
      </c>
      <c r="J27" s="6">
        <v>49</v>
      </c>
      <c r="K27" s="1">
        <v>1.5</v>
      </c>
      <c r="L27" s="6">
        <v>1.1000000000000001</v>
      </c>
      <c r="M27" s="5">
        <v>0.20799999999999999</v>
      </c>
      <c r="N27" s="6">
        <v>0.216</v>
      </c>
      <c r="O27" s="1">
        <v>87</v>
      </c>
      <c r="P27" s="6">
        <v>90</v>
      </c>
      <c r="Q27" s="1" t="s">
        <v>39</v>
      </c>
      <c r="R27" s="1">
        <v>2</v>
      </c>
      <c r="S27" s="1" t="s">
        <v>39</v>
      </c>
      <c r="T27" s="6">
        <v>6</v>
      </c>
      <c r="U27" s="1">
        <v>4</v>
      </c>
      <c r="V27" s="1">
        <v>2</v>
      </c>
      <c r="W27" s="9" t="s">
        <v>25</v>
      </c>
    </row>
    <row r="28" spans="1:23" s="1" customFormat="1" x14ac:dyDescent="0.2">
      <c r="A28" s="5" t="s">
        <v>53</v>
      </c>
      <c r="B28" s="1">
        <v>1899</v>
      </c>
      <c r="C28" s="1" t="s">
        <v>22</v>
      </c>
      <c r="D28" s="1">
        <v>24</v>
      </c>
      <c r="E28" s="5">
        <v>30.07</v>
      </c>
      <c r="F28" s="6">
        <v>30.09</v>
      </c>
      <c r="G28" s="1">
        <v>37.799999999999997</v>
      </c>
      <c r="H28" s="1">
        <v>40.299999999999997</v>
      </c>
      <c r="I28" s="1">
        <v>35.6</v>
      </c>
      <c r="J28" s="6">
        <v>47.3</v>
      </c>
      <c r="K28" s="1">
        <v>1.9</v>
      </c>
      <c r="L28" s="6">
        <v>1.4</v>
      </c>
      <c r="M28" s="5">
        <v>0.19</v>
      </c>
      <c r="N28" s="6">
        <v>0.221</v>
      </c>
      <c r="O28" s="1">
        <v>84</v>
      </c>
      <c r="P28" s="6">
        <v>88</v>
      </c>
      <c r="Q28" s="1" t="s">
        <v>36</v>
      </c>
      <c r="R28" s="1">
        <v>0</v>
      </c>
      <c r="S28" s="1" t="s">
        <v>38</v>
      </c>
      <c r="T28" s="6">
        <v>1</v>
      </c>
      <c r="U28" s="1">
        <v>4</v>
      </c>
      <c r="V28" s="1">
        <v>4</v>
      </c>
      <c r="W28" s="9" t="s">
        <v>25</v>
      </c>
    </row>
    <row r="29" spans="1:23" s="1" customFormat="1" x14ac:dyDescent="0.2">
      <c r="A29" s="5" t="s">
        <v>53</v>
      </c>
      <c r="B29" s="1">
        <v>1899</v>
      </c>
      <c r="C29" s="1" t="s">
        <v>22</v>
      </c>
      <c r="D29" s="1">
        <v>25</v>
      </c>
      <c r="E29" s="5">
        <v>30.19</v>
      </c>
      <c r="F29" s="6">
        <v>30.2</v>
      </c>
      <c r="G29" s="1">
        <v>37.299999999999997</v>
      </c>
      <c r="H29" s="1">
        <v>35</v>
      </c>
      <c r="I29" s="1">
        <v>35</v>
      </c>
      <c r="J29" s="6">
        <v>40.299999999999997</v>
      </c>
      <c r="K29" s="1">
        <v>1.4</v>
      </c>
      <c r="L29" s="6">
        <v>1.1000000000000001</v>
      </c>
      <c r="M29" s="5">
        <v>0.19500000000000001</v>
      </c>
      <c r="N29" s="6">
        <v>0.182</v>
      </c>
      <c r="O29" s="1">
        <v>87</v>
      </c>
      <c r="P29" s="6">
        <v>89</v>
      </c>
      <c r="Q29" s="1" t="s">
        <v>38</v>
      </c>
      <c r="R29" s="1">
        <v>2</v>
      </c>
      <c r="S29" s="1" t="s">
        <v>31</v>
      </c>
      <c r="T29" s="6">
        <v>1</v>
      </c>
      <c r="U29" s="1">
        <v>10</v>
      </c>
      <c r="V29" s="1">
        <v>10</v>
      </c>
      <c r="W29" s="9" t="s">
        <v>25</v>
      </c>
    </row>
    <row r="30" spans="1:23" s="1" customFormat="1" x14ac:dyDescent="0.2">
      <c r="A30" s="5" t="s">
        <v>53</v>
      </c>
      <c r="B30" s="1">
        <v>1899</v>
      </c>
      <c r="C30" s="1" t="s">
        <v>22</v>
      </c>
      <c r="D30" s="1">
        <v>26</v>
      </c>
      <c r="E30" s="5">
        <v>30.19</v>
      </c>
      <c r="F30" s="6">
        <v>30.2</v>
      </c>
      <c r="G30" s="1">
        <v>40</v>
      </c>
      <c r="H30" s="1">
        <v>31.9</v>
      </c>
      <c r="I30" s="1">
        <v>31.8</v>
      </c>
      <c r="J30" s="6">
        <v>44</v>
      </c>
      <c r="K30" s="1">
        <v>0.2</v>
      </c>
      <c r="L30" s="6">
        <v>0.2</v>
      </c>
      <c r="M30" s="5">
        <v>0.24299999999999999</v>
      </c>
      <c r="N30" s="6">
        <v>0.17599999999999999</v>
      </c>
      <c r="O30" s="1">
        <v>98</v>
      </c>
      <c r="P30" s="6">
        <v>97</v>
      </c>
      <c r="Q30" s="1" t="s">
        <v>32</v>
      </c>
      <c r="R30" s="1">
        <v>2</v>
      </c>
      <c r="S30" s="1" t="s">
        <v>31</v>
      </c>
      <c r="T30" s="6">
        <v>1</v>
      </c>
      <c r="U30" s="1">
        <v>6</v>
      </c>
      <c r="V30" s="1">
        <v>3</v>
      </c>
      <c r="W30" s="9" t="s">
        <v>25</v>
      </c>
    </row>
    <row r="31" spans="1:23" s="1" customFormat="1" x14ac:dyDescent="0.2">
      <c r="A31" s="5" t="s">
        <v>53</v>
      </c>
      <c r="B31" s="1">
        <v>1899</v>
      </c>
      <c r="C31" s="1" t="s">
        <v>22</v>
      </c>
      <c r="D31" s="1">
        <v>27</v>
      </c>
      <c r="E31" s="5">
        <v>30.26</v>
      </c>
      <c r="F31" s="6">
        <v>30.32</v>
      </c>
      <c r="G31" s="1">
        <v>34</v>
      </c>
      <c r="H31" s="1">
        <v>40</v>
      </c>
      <c r="I31" s="1">
        <v>29.8</v>
      </c>
      <c r="J31" s="6">
        <v>42</v>
      </c>
      <c r="K31" s="1">
        <v>0.3</v>
      </c>
      <c r="L31" s="6">
        <v>1.2</v>
      </c>
      <c r="M31" s="5">
        <v>0.189</v>
      </c>
      <c r="N31" s="6">
        <v>0.223</v>
      </c>
      <c r="O31" s="1">
        <v>96</v>
      </c>
      <c r="P31" s="6">
        <v>96</v>
      </c>
      <c r="Q31" s="1" t="s">
        <v>31</v>
      </c>
      <c r="R31" s="1">
        <v>3</v>
      </c>
      <c r="S31" s="1" t="s">
        <v>35</v>
      </c>
      <c r="T31" s="6">
        <v>1</v>
      </c>
      <c r="U31" s="1">
        <v>2</v>
      </c>
      <c r="V31" s="1">
        <v>7</v>
      </c>
      <c r="W31" s="9" t="s">
        <v>25</v>
      </c>
    </row>
    <row r="32" spans="1:23" s="1" customFormat="1" x14ac:dyDescent="0.2">
      <c r="A32" s="5" t="s">
        <v>53</v>
      </c>
      <c r="B32" s="1">
        <v>1899</v>
      </c>
      <c r="C32" s="1" t="s">
        <v>22</v>
      </c>
      <c r="D32" s="1">
        <v>28</v>
      </c>
      <c r="E32" s="5">
        <v>30.32</v>
      </c>
      <c r="F32" s="6">
        <v>30.28</v>
      </c>
      <c r="G32" s="1">
        <v>36.299999999999997</v>
      </c>
      <c r="H32" s="1">
        <v>35</v>
      </c>
      <c r="I32" s="1">
        <v>31.7</v>
      </c>
      <c r="J32" s="6">
        <v>52.3</v>
      </c>
      <c r="K32" s="1">
        <v>1.4</v>
      </c>
      <c r="L32" s="6">
        <v>1.1000000000000001</v>
      </c>
      <c r="M32" s="5">
        <v>0.186</v>
      </c>
      <c r="N32" s="6">
        <v>0.182</v>
      </c>
      <c r="O32" s="1">
        <v>87</v>
      </c>
      <c r="P32" s="6">
        <v>89</v>
      </c>
      <c r="Q32" s="1" t="s">
        <v>35</v>
      </c>
      <c r="R32" s="1">
        <v>1</v>
      </c>
      <c r="S32" s="1" t="s">
        <v>35</v>
      </c>
      <c r="T32" s="6">
        <v>4</v>
      </c>
      <c r="U32" s="1">
        <v>7</v>
      </c>
      <c r="V32" s="1">
        <v>4</v>
      </c>
      <c r="W32" s="9" t="s">
        <v>25</v>
      </c>
    </row>
    <row r="33" spans="1:23" s="1" customFormat="1" x14ac:dyDescent="0.2">
      <c r="A33" s="10"/>
      <c r="B33" s="11"/>
      <c r="C33" s="11"/>
      <c r="D33" s="12" t="s">
        <v>45</v>
      </c>
      <c r="E33" s="11">
        <v>29.617000000000001</v>
      </c>
      <c r="F33" s="12">
        <v>29.632000000000001</v>
      </c>
      <c r="G33" s="10">
        <v>40.299999999999997</v>
      </c>
      <c r="H33" s="11">
        <v>40.6</v>
      </c>
      <c r="I33" s="11">
        <v>35.200000000000003</v>
      </c>
      <c r="J33" s="12">
        <v>46.8</v>
      </c>
      <c r="K33" s="10">
        <v>1.1000000000000001</v>
      </c>
      <c r="L33" s="12">
        <v>1.5</v>
      </c>
      <c r="M33" s="11">
        <v>0.23</v>
      </c>
      <c r="N33" s="11">
        <v>0.22600000000000001</v>
      </c>
      <c r="O33" s="10">
        <v>90.5</v>
      </c>
      <c r="P33" s="12">
        <v>88</v>
      </c>
      <c r="Q33" s="10" t="s">
        <v>25</v>
      </c>
      <c r="R33" s="11">
        <v>2.4</v>
      </c>
      <c r="S33" s="11" t="s">
        <v>25</v>
      </c>
      <c r="T33" s="12">
        <v>2.2999999999999998</v>
      </c>
      <c r="U33" s="10">
        <v>6.2</v>
      </c>
      <c r="V33" s="12">
        <v>6.3</v>
      </c>
      <c r="W33" s="13">
        <v>1.115</v>
      </c>
    </row>
    <row r="34" spans="1:23" x14ac:dyDescent="0.2">
      <c r="E34">
        <f>SUM(E5:E32)/28</f>
        <v>29.618214285714295</v>
      </c>
      <c r="F34">
        <f>SUM(F5:F32)/28</f>
        <v>29.6325</v>
      </c>
      <c r="I34">
        <f>SUM(I5:I32)/28</f>
        <v>35.335714285714289</v>
      </c>
    </row>
  </sheetData>
  <mergeCells count="8">
    <mergeCell ref="K3:L3"/>
    <mergeCell ref="M3:N3"/>
    <mergeCell ref="O3:P3"/>
    <mergeCell ref="E2:F2"/>
    <mergeCell ref="G2:J2"/>
    <mergeCell ref="K2:P2"/>
    <mergeCell ref="Q2:T2"/>
    <mergeCell ref="U2:V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FE9D5-A80F-41C9-AEC8-6E2C403BE377}">
  <dimension ref="A2:W34"/>
  <sheetViews>
    <sheetView topLeftCell="L20" workbookViewId="0">
      <selection activeCell="Q15" sqref="Q15"/>
    </sheetView>
  </sheetViews>
  <sheetFormatPr baseColWidth="10" defaultColWidth="8.83203125" defaultRowHeight="15" x14ac:dyDescent="0.2"/>
  <cols>
    <col min="1" max="1" width="14" customWidth="1"/>
  </cols>
  <sheetData>
    <row r="2" spans="1:23" s="2" customFormat="1" ht="32" x14ac:dyDescent="0.2">
      <c r="A2" s="14"/>
      <c r="B2" s="15"/>
      <c r="C2" s="15"/>
      <c r="D2" s="15"/>
      <c r="E2" s="31" t="s">
        <v>0</v>
      </c>
      <c r="F2" s="32"/>
      <c r="G2" s="33" t="s">
        <v>1</v>
      </c>
      <c r="H2" s="33"/>
      <c r="I2" s="33"/>
      <c r="J2" s="34"/>
      <c r="K2" s="29" t="s">
        <v>2</v>
      </c>
      <c r="L2" s="33"/>
      <c r="M2" s="33"/>
      <c r="N2" s="33"/>
      <c r="O2" s="33"/>
      <c r="P2" s="34"/>
      <c r="Q2" s="33" t="s">
        <v>3</v>
      </c>
      <c r="R2" s="33"/>
      <c r="S2" s="33"/>
      <c r="T2" s="34"/>
      <c r="U2" s="29" t="s">
        <v>4</v>
      </c>
      <c r="V2" s="30"/>
      <c r="W2" s="7" t="s">
        <v>5</v>
      </c>
    </row>
    <row r="3" spans="1:23" s="2" customFormat="1" x14ac:dyDescent="0.2">
      <c r="A3" s="3"/>
      <c r="E3" s="16"/>
      <c r="F3" s="17"/>
      <c r="J3" s="4"/>
      <c r="K3" s="35" t="s">
        <v>6</v>
      </c>
      <c r="L3" s="36"/>
      <c r="M3" s="35" t="s">
        <v>7</v>
      </c>
      <c r="N3" s="36"/>
      <c r="O3" s="37" t="s">
        <v>8</v>
      </c>
      <c r="P3" s="38"/>
      <c r="T3" s="4"/>
      <c r="V3" s="1"/>
      <c r="W3" s="18"/>
    </row>
    <row r="4" spans="1:23" s="2" customFormat="1" x14ac:dyDescent="0.2">
      <c r="A4" s="3" t="s">
        <v>9</v>
      </c>
      <c r="B4" s="2" t="s">
        <v>10</v>
      </c>
      <c r="C4" s="2" t="s">
        <v>11</v>
      </c>
      <c r="D4" s="2" t="s">
        <v>12</v>
      </c>
      <c r="E4" s="3" t="s">
        <v>13</v>
      </c>
      <c r="F4" s="4" t="s">
        <v>14</v>
      </c>
      <c r="G4" s="2" t="s">
        <v>13</v>
      </c>
      <c r="H4" s="2" t="s">
        <v>14</v>
      </c>
      <c r="I4" s="2" t="s">
        <v>15</v>
      </c>
      <c r="J4" s="4" t="s">
        <v>16</v>
      </c>
      <c r="K4" s="2" t="s">
        <v>13</v>
      </c>
      <c r="L4" s="4" t="s">
        <v>14</v>
      </c>
      <c r="M4" s="3" t="s">
        <v>13</v>
      </c>
      <c r="N4" s="4" t="s">
        <v>14</v>
      </c>
      <c r="O4" s="2" t="s">
        <v>13</v>
      </c>
      <c r="P4" s="4" t="s">
        <v>14</v>
      </c>
      <c r="Q4" s="2" t="s">
        <v>17</v>
      </c>
      <c r="R4" s="2" t="s">
        <v>18</v>
      </c>
      <c r="S4" s="2" t="s">
        <v>19</v>
      </c>
      <c r="T4" s="4" t="s">
        <v>20</v>
      </c>
      <c r="U4" s="2" t="s">
        <v>13</v>
      </c>
      <c r="V4" s="2" t="s">
        <v>14</v>
      </c>
      <c r="W4" s="8" t="s">
        <v>13</v>
      </c>
    </row>
    <row r="5" spans="1:23" s="1" customFormat="1" x14ac:dyDescent="0.2">
      <c r="A5" s="5" t="s">
        <v>54</v>
      </c>
      <c r="B5" s="1">
        <v>1899</v>
      </c>
      <c r="C5" s="1" t="s">
        <v>22</v>
      </c>
      <c r="D5" s="1">
        <v>1</v>
      </c>
      <c r="E5" s="5">
        <v>29.36</v>
      </c>
      <c r="F5" s="6">
        <v>29.39</v>
      </c>
      <c r="G5" s="1">
        <v>37.799999999999997</v>
      </c>
      <c r="H5" s="1">
        <v>35.6</v>
      </c>
      <c r="I5" s="1">
        <v>35.200000000000003</v>
      </c>
      <c r="J5" s="6">
        <v>40.5</v>
      </c>
      <c r="K5" s="1">
        <v>2.4</v>
      </c>
      <c r="L5" s="6">
        <v>1.8</v>
      </c>
      <c r="M5" s="5">
        <v>0.182</v>
      </c>
      <c r="N5" s="6">
        <v>0.17499999999999999</v>
      </c>
      <c r="O5" s="1">
        <v>80</v>
      </c>
      <c r="P5" s="6">
        <v>83</v>
      </c>
      <c r="Q5" s="1" t="s">
        <v>30</v>
      </c>
      <c r="R5" s="1">
        <v>2</v>
      </c>
      <c r="S5" s="1" t="s">
        <v>47</v>
      </c>
      <c r="T5" s="6">
        <v>3</v>
      </c>
      <c r="U5" s="1">
        <v>6</v>
      </c>
      <c r="V5" s="1">
        <v>2</v>
      </c>
      <c r="W5" s="9" t="s">
        <v>25</v>
      </c>
    </row>
    <row r="6" spans="1:23" s="1" customFormat="1" x14ac:dyDescent="0.2">
      <c r="A6" s="5" t="s">
        <v>54</v>
      </c>
      <c r="B6" s="1">
        <v>1899</v>
      </c>
      <c r="C6" s="1" t="s">
        <v>22</v>
      </c>
      <c r="D6" s="1">
        <v>2</v>
      </c>
      <c r="E6" s="5">
        <v>29.47</v>
      </c>
      <c r="F6" s="6">
        <v>29.61</v>
      </c>
      <c r="G6" s="1">
        <v>36.799999999999997</v>
      </c>
      <c r="H6" s="1">
        <v>32.799999999999997</v>
      </c>
      <c r="I6" s="1">
        <v>31.8</v>
      </c>
      <c r="J6" s="6">
        <v>39.4</v>
      </c>
      <c r="K6" s="1">
        <v>2.7</v>
      </c>
      <c r="L6" s="6">
        <v>1.8</v>
      </c>
      <c r="M6" s="5">
        <v>0.16900000000000001</v>
      </c>
      <c r="N6" s="6">
        <v>0.14899999999999999</v>
      </c>
      <c r="O6" s="1">
        <v>77</v>
      </c>
      <c r="P6" s="6">
        <v>80</v>
      </c>
      <c r="Q6" s="1" t="s">
        <v>23</v>
      </c>
      <c r="R6" s="1">
        <v>3</v>
      </c>
      <c r="S6" s="1" t="s">
        <v>23</v>
      </c>
      <c r="T6" s="6">
        <v>2</v>
      </c>
      <c r="U6" s="1">
        <v>1</v>
      </c>
      <c r="V6" s="1">
        <v>1</v>
      </c>
      <c r="W6" s="9" t="s">
        <v>25</v>
      </c>
    </row>
    <row r="7" spans="1:23" s="1" customFormat="1" x14ac:dyDescent="0.2">
      <c r="A7" s="5" t="s">
        <v>54</v>
      </c>
      <c r="B7" s="1">
        <v>1899</v>
      </c>
      <c r="C7" s="1" t="s">
        <v>22</v>
      </c>
      <c r="D7" s="1">
        <v>3</v>
      </c>
      <c r="E7" s="5">
        <v>29.72</v>
      </c>
      <c r="F7" s="6">
        <v>29.77</v>
      </c>
      <c r="G7" s="1">
        <v>34.5</v>
      </c>
      <c r="H7" s="1">
        <v>30.8</v>
      </c>
      <c r="I7" s="1">
        <v>26.9</v>
      </c>
      <c r="J7" s="6">
        <v>41.4</v>
      </c>
      <c r="K7" s="1">
        <v>1.7</v>
      </c>
      <c r="L7" s="6">
        <v>1.4</v>
      </c>
      <c r="M7" s="5">
        <v>0.16700000000000001</v>
      </c>
      <c r="N7" s="6">
        <v>0.13800000000000001</v>
      </c>
      <c r="O7" s="1">
        <v>83</v>
      </c>
      <c r="P7" s="6">
        <v>80</v>
      </c>
      <c r="Q7" s="1" t="s">
        <v>36</v>
      </c>
      <c r="R7" s="1">
        <v>0</v>
      </c>
      <c r="S7" s="1" t="s">
        <v>27</v>
      </c>
      <c r="T7" s="6">
        <v>2</v>
      </c>
      <c r="U7" s="1">
        <v>0</v>
      </c>
      <c r="V7" s="1">
        <v>1</v>
      </c>
      <c r="W7" s="9" t="s">
        <v>25</v>
      </c>
    </row>
    <row r="8" spans="1:23" s="1" customFormat="1" x14ac:dyDescent="0.2">
      <c r="A8" s="5" t="s">
        <v>54</v>
      </c>
      <c r="B8" s="1">
        <v>1899</v>
      </c>
      <c r="C8" s="1" t="s">
        <v>22</v>
      </c>
      <c r="D8" s="1">
        <v>4</v>
      </c>
      <c r="E8" s="5">
        <v>29.69</v>
      </c>
      <c r="F8" s="6">
        <v>29.49</v>
      </c>
      <c r="G8" s="1">
        <v>38.4</v>
      </c>
      <c r="H8" s="1">
        <v>38.799999999999997</v>
      </c>
      <c r="I8" s="1">
        <v>30.8</v>
      </c>
      <c r="J8" s="6">
        <v>39.700000000000003</v>
      </c>
      <c r="K8" s="1">
        <v>2.6</v>
      </c>
      <c r="L8" s="6">
        <v>1</v>
      </c>
      <c r="M8" s="5">
        <v>0.183</v>
      </c>
      <c r="N8" s="6">
        <v>0.216</v>
      </c>
      <c r="O8" s="1">
        <v>79</v>
      </c>
      <c r="P8" s="6">
        <v>92</v>
      </c>
      <c r="Q8" s="1" t="s">
        <v>31</v>
      </c>
      <c r="R8" s="1">
        <v>4</v>
      </c>
      <c r="S8" s="1" t="s">
        <v>33</v>
      </c>
      <c r="T8" s="6">
        <v>2</v>
      </c>
      <c r="U8" s="1">
        <v>8</v>
      </c>
      <c r="V8" s="1">
        <v>10</v>
      </c>
      <c r="W8" s="9">
        <v>3.1E-2</v>
      </c>
    </row>
    <row r="9" spans="1:23" s="1" customFormat="1" x14ac:dyDescent="0.2">
      <c r="A9" s="5" t="s">
        <v>54</v>
      </c>
      <c r="B9" s="1">
        <v>1899</v>
      </c>
      <c r="C9" s="1" t="s">
        <v>22</v>
      </c>
      <c r="D9" s="1">
        <v>5</v>
      </c>
      <c r="E9" s="5">
        <v>29.44</v>
      </c>
      <c r="F9" s="6">
        <v>29.58</v>
      </c>
      <c r="G9" s="1">
        <v>37.200000000000003</v>
      </c>
      <c r="H9" s="1">
        <v>39.799999999999997</v>
      </c>
      <c r="I9" s="1">
        <v>36.5</v>
      </c>
      <c r="J9" s="6">
        <v>41</v>
      </c>
      <c r="K9" s="1">
        <v>1.4</v>
      </c>
      <c r="L9" s="6">
        <v>2.4</v>
      </c>
      <c r="M9" s="5">
        <v>0.19400000000000001</v>
      </c>
      <c r="N9" s="6">
        <v>0.19800000000000001</v>
      </c>
      <c r="O9" s="1">
        <v>87</v>
      </c>
      <c r="P9" s="6">
        <v>81</v>
      </c>
      <c r="Q9" s="1" t="s">
        <v>43</v>
      </c>
      <c r="R9" s="1">
        <v>2</v>
      </c>
      <c r="S9" s="1" t="s">
        <v>43</v>
      </c>
      <c r="T9" s="19" t="s">
        <v>55</v>
      </c>
      <c r="U9" s="1">
        <v>9</v>
      </c>
      <c r="V9" s="1">
        <v>10</v>
      </c>
      <c r="W9" s="9">
        <v>0.23200000000000001</v>
      </c>
    </row>
    <row r="10" spans="1:23" s="1" customFormat="1" x14ac:dyDescent="0.2">
      <c r="A10" s="5" t="s">
        <v>54</v>
      </c>
      <c r="B10" s="1">
        <v>1899</v>
      </c>
      <c r="C10" s="1" t="s">
        <v>22</v>
      </c>
      <c r="D10" s="1">
        <v>6</v>
      </c>
      <c r="E10" s="5">
        <v>29.56</v>
      </c>
      <c r="F10" s="6">
        <v>29.44</v>
      </c>
      <c r="G10" s="1">
        <v>38</v>
      </c>
      <c r="H10" s="1">
        <v>38.5</v>
      </c>
      <c r="I10" s="1">
        <v>37.200000000000003</v>
      </c>
      <c r="J10" s="6">
        <v>40</v>
      </c>
      <c r="K10" s="1">
        <v>0.2</v>
      </c>
      <c r="L10" s="6">
        <v>1.4</v>
      </c>
      <c r="M10" s="5">
        <v>0.224</v>
      </c>
      <c r="N10" s="6">
        <v>0.20599999999999999</v>
      </c>
      <c r="O10" s="1">
        <v>98</v>
      </c>
      <c r="P10" s="6">
        <v>89</v>
      </c>
      <c r="Q10" s="1" t="s">
        <v>33</v>
      </c>
      <c r="R10" s="1">
        <v>5</v>
      </c>
      <c r="S10" s="1" t="s">
        <v>33</v>
      </c>
      <c r="T10" s="19" t="s">
        <v>56</v>
      </c>
      <c r="U10" s="1">
        <v>10</v>
      </c>
      <c r="V10" s="1">
        <v>10</v>
      </c>
      <c r="W10" s="9">
        <v>0.14000000000000001</v>
      </c>
    </row>
    <row r="11" spans="1:23" s="1" customFormat="1" x14ac:dyDescent="0.2">
      <c r="A11" s="5" t="s">
        <v>54</v>
      </c>
      <c r="B11" s="1">
        <v>1899</v>
      </c>
      <c r="C11" s="1" t="s">
        <v>22</v>
      </c>
      <c r="D11" s="1">
        <v>7</v>
      </c>
      <c r="E11" s="5">
        <v>29.1</v>
      </c>
      <c r="F11" s="6">
        <v>29.11</v>
      </c>
      <c r="G11" s="1">
        <v>44.8</v>
      </c>
      <c r="H11" s="1">
        <v>48</v>
      </c>
      <c r="I11" s="1">
        <v>38.5</v>
      </c>
      <c r="J11" s="6">
        <v>50.7</v>
      </c>
      <c r="K11" s="1">
        <v>0.6</v>
      </c>
      <c r="L11" s="6">
        <v>0.6</v>
      </c>
      <c r="M11" s="5">
        <v>0.28299999999999997</v>
      </c>
      <c r="N11" s="6">
        <v>0.31900000000000001</v>
      </c>
      <c r="O11" s="1">
        <v>96</v>
      </c>
      <c r="P11" s="6">
        <v>96</v>
      </c>
      <c r="Q11" s="1" t="s">
        <v>31</v>
      </c>
      <c r="R11" s="1">
        <v>4</v>
      </c>
      <c r="S11" s="1" t="s">
        <v>38</v>
      </c>
      <c r="T11" s="6">
        <v>3</v>
      </c>
      <c r="U11" s="1">
        <v>10</v>
      </c>
      <c r="V11" s="1">
        <v>7</v>
      </c>
      <c r="W11" s="9">
        <v>7.3999999999999996E-2</v>
      </c>
    </row>
    <row r="12" spans="1:23" s="1" customFormat="1" x14ac:dyDescent="0.2">
      <c r="A12" s="5" t="s">
        <v>54</v>
      </c>
      <c r="B12" s="1">
        <v>1899</v>
      </c>
      <c r="C12" s="1" t="s">
        <v>22</v>
      </c>
      <c r="D12" s="1">
        <v>8</v>
      </c>
      <c r="E12" s="5">
        <v>29.02</v>
      </c>
      <c r="F12" s="6">
        <v>28.83</v>
      </c>
      <c r="G12" s="1">
        <v>48.5</v>
      </c>
      <c r="H12" s="1">
        <v>49</v>
      </c>
      <c r="I12" s="1">
        <v>45.8</v>
      </c>
      <c r="J12" s="6">
        <v>49.2</v>
      </c>
      <c r="K12" s="1">
        <v>0.9</v>
      </c>
      <c r="L12" s="6">
        <v>0.8</v>
      </c>
      <c r="M12" s="5">
        <v>0.31900000000000001</v>
      </c>
      <c r="N12" s="6">
        <v>0.32700000000000001</v>
      </c>
      <c r="O12" s="1">
        <v>94</v>
      </c>
      <c r="P12" s="6">
        <v>94</v>
      </c>
      <c r="Q12" s="1" t="s">
        <v>39</v>
      </c>
      <c r="R12" s="1">
        <v>4</v>
      </c>
      <c r="S12" s="1" t="s">
        <v>38</v>
      </c>
      <c r="T12" s="6">
        <v>5</v>
      </c>
      <c r="U12" s="1">
        <v>8</v>
      </c>
      <c r="V12" s="1">
        <v>10</v>
      </c>
      <c r="W12" s="9">
        <v>0.37</v>
      </c>
    </row>
    <row r="13" spans="1:23" s="1" customFormat="1" x14ac:dyDescent="0.2">
      <c r="A13" s="5" t="s">
        <v>54</v>
      </c>
      <c r="B13" s="1">
        <v>1899</v>
      </c>
      <c r="C13" s="1" t="s">
        <v>22</v>
      </c>
      <c r="D13" s="1">
        <v>9</v>
      </c>
      <c r="E13" s="5">
        <v>29.06</v>
      </c>
      <c r="F13" s="6">
        <v>28.84</v>
      </c>
      <c r="G13" s="1">
        <v>49.2</v>
      </c>
      <c r="H13" s="1">
        <v>52</v>
      </c>
      <c r="I13" s="1">
        <v>47</v>
      </c>
      <c r="J13" s="6">
        <v>52</v>
      </c>
      <c r="K13" s="1">
        <v>0.4</v>
      </c>
      <c r="L13" s="6">
        <v>2.2000000000000002</v>
      </c>
      <c r="M13" s="5">
        <v>0.34</v>
      </c>
      <c r="N13" s="6">
        <v>0.33</v>
      </c>
      <c r="O13" s="1">
        <v>98</v>
      </c>
      <c r="P13" s="6">
        <v>85</v>
      </c>
      <c r="Q13" s="1" t="s">
        <v>35</v>
      </c>
      <c r="R13" s="1">
        <v>3</v>
      </c>
      <c r="S13" s="1" t="s">
        <v>39</v>
      </c>
      <c r="T13" s="19" t="s">
        <v>57</v>
      </c>
      <c r="U13" s="1">
        <v>10</v>
      </c>
      <c r="V13" s="1">
        <v>8</v>
      </c>
      <c r="W13" s="9">
        <v>0.68899999999999995</v>
      </c>
    </row>
    <row r="14" spans="1:23" s="1" customFormat="1" x14ac:dyDescent="0.2">
      <c r="A14" s="5" t="s">
        <v>54</v>
      </c>
      <c r="B14" s="1">
        <v>1899</v>
      </c>
      <c r="C14" s="1" t="s">
        <v>22</v>
      </c>
      <c r="D14" s="1">
        <v>10</v>
      </c>
      <c r="E14" s="5">
        <v>28.99</v>
      </c>
      <c r="F14" s="6">
        <v>29.08</v>
      </c>
      <c r="G14" s="1">
        <v>49</v>
      </c>
      <c r="H14" s="1">
        <v>49.1</v>
      </c>
      <c r="I14" s="1">
        <v>41.8</v>
      </c>
      <c r="J14" s="6">
        <v>52.4</v>
      </c>
      <c r="K14" s="1">
        <v>0</v>
      </c>
      <c r="L14" s="6">
        <v>0.3</v>
      </c>
      <c r="M14" s="5">
        <v>0.34799999999999998</v>
      </c>
      <c r="N14" s="6">
        <v>0.34200000000000003</v>
      </c>
      <c r="O14" s="1">
        <v>100</v>
      </c>
      <c r="P14" s="6">
        <v>98</v>
      </c>
      <c r="Q14" s="1" t="s">
        <v>38</v>
      </c>
      <c r="R14" s="28" t="s">
        <v>58</v>
      </c>
      <c r="S14" s="1" t="s">
        <v>38</v>
      </c>
      <c r="T14" s="19" t="s">
        <v>56</v>
      </c>
      <c r="U14" s="1">
        <v>10</v>
      </c>
      <c r="V14" s="1">
        <v>10</v>
      </c>
      <c r="W14" s="9">
        <v>0.126</v>
      </c>
    </row>
    <row r="15" spans="1:23" s="1" customFormat="1" x14ac:dyDescent="0.2">
      <c r="A15" s="5" t="s">
        <v>54</v>
      </c>
      <c r="B15" s="1">
        <v>1899</v>
      </c>
      <c r="C15" s="1" t="s">
        <v>22</v>
      </c>
      <c r="D15" s="1">
        <v>11</v>
      </c>
      <c r="E15" s="5">
        <v>29.12</v>
      </c>
      <c r="F15" s="6">
        <v>28.82</v>
      </c>
      <c r="G15" s="1">
        <v>48.8</v>
      </c>
      <c r="H15" s="1">
        <v>47.8</v>
      </c>
      <c r="I15" s="1">
        <v>47.6</v>
      </c>
      <c r="J15" s="6">
        <v>51.4</v>
      </c>
      <c r="K15" s="1">
        <v>0.6</v>
      </c>
      <c r="L15" s="6">
        <v>1.1000000000000001</v>
      </c>
      <c r="M15" s="5">
        <v>0.33</v>
      </c>
      <c r="N15" s="6">
        <v>0.30499999999999999</v>
      </c>
      <c r="O15" s="1">
        <v>95</v>
      </c>
      <c r="P15" s="6">
        <v>92</v>
      </c>
      <c r="Q15" s="1" t="s">
        <v>39</v>
      </c>
      <c r="R15" s="28" t="s">
        <v>58</v>
      </c>
      <c r="S15" s="1" t="s">
        <v>33</v>
      </c>
      <c r="T15" s="6">
        <v>4</v>
      </c>
      <c r="U15" s="1">
        <v>10</v>
      </c>
      <c r="V15" s="1">
        <v>10</v>
      </c>
      <c r="W15" s="9">
        <v>0.313</v>
      </c>
    </row>
    <row r="16" spans="1:23" s="1" customFormat="1" x14ac:dyDescent="0.2">
      <c r="A16" s="5" t="s">
        <v>54</v>
      </c>
      <c r="B16" s="1">
        <v>1899</v>
      </c>
      <c r="C16" s="1" t="s">
        <v>22</v>
      </c>
      <c r="D16" s="1">
        <v>12</v>
      </c>
      <c r="E16" s="5">
        <v>28.77</v>
      </c>
      <c r="F16" s="6">
        <v>29.1</v>
      </c>
      <c r="G16" s="1">
        <v>43.6</v>
      </c>
      <c r="H16" s="1">
        <v>43</v>
      </c>
      <c r="I16" s="1">
        <v>42.4</v>
      </c>
      <c r="J16" s="6">
        <v>48.2</v>
      </c>
      <c r="K16" s="1">
        <v>1.6</v>
      </c>
      <c r="L16" s="6">
        <v>0.8</v>
      </c>
      <c r="M16" s="5">
        <v>0.248</v>
      </c>
      <c r="N16" s="6">
        <v>0.25900000000000001</v>
      </c>
      <c r="O16" s="1">
        <v>87</v>
      </c>
      <c r="P16" s="6">
        <v>94</v>
      </c>
      <c r="Q16" s="1" t="s">
        <v>35</v>
      </c>
      <c r="R16" s="1">
        <v>3</v>
      </c>
      <c r="S16" s="1" t="s">
        <v>44</v>
      </c>
      <c r="T16" s="6">
        <v>3</v>
      </c>
      <c r="U16" s="1">
        <v>10</v>
      </c>
      <c r="V16" s="1">
        <v>6</v>
      </c>
      <c r="W16" s="9">
        <v>0.28699999999999998</v>
      </c>
    </row>
    <row r="17" spans="1:23" s="1" customFormat="1" x14ac:dyDescent="0.2">
      <c r="A17" s="5" t="s">
        <v>54</v>
      </c>
      <c r="B17" s="1">
        <v>1899</v>
      </c>
      <c r="C17" s="1" t="s">
        <v>22</v>
      </c>
      <c r="D17" s="1">
        <v>13</v>
      </c>
      <c r="E17" s="5">
        <v>28.76</v>
      </c>
      <c r="F17" s="6">
        <v>28.76</v>
      </c>
      <c r="G17" s="1">
        <v>48.2</v>
      </c>
      <c r="H17" s="1">
        <v>45.5</v>
      </c>
      <c r="I17" s="1">
        <v>36.200000000000003</v>
      </c>
      <c r="J17" s="6">
        <v>49.4</v>
      </c>
      <c r="K17" s="1">
        <v>0.2</v>
      </c>
      <c r="L17" s="6">
        <v>1.5</v>
      </c>
      <c r="M17" s="5">
        <v>0.33200000000000002</v>
      </c>
      <c r="N17" s="6">
        <v>0.27</v>
      </c>
      <c r="O17" s="1">
        <v>99</v>
      </c>
      <c r="P17" s="6">
        <v>89</v>
      </c>
      <c r="Q17" s="1" t="s">
        <v>32</v>
      </c>
      <c r="R17" s="28" t="s">
        <v>59</v>
      </c>
      <c r="S17" s="1" t="s">
        <v>35</v>
      </c>
      <c r="T17" s="6">
        <v>5</v>
      </c>
      <c r="U17" s="1">
        <v>10</v>
      </c>
      <c r="V17" s="1">
        <v>5</v>
      </c>
      <c r="W17" s="9">
        <v>0.22800000000000001</v>
      </c>
    </row>
    <row r="18" spans="1:23" s="1" customFormat="1" x14ac:dyDescent="0.2">
      <c r="A18" s="5" t="s">
        <v>54</v>
      </c>
      <c r="B18" s="1">
        <v>1899</v>
      </c>
      <c r="C18" s="1" t="s">
        <v>22</v>
      </c>
      <c r="D18" s="1">
        <v>14</v>
      </c>
      <c r="E18" s="5">
        <v>29.07</v>
      </c>
      <c r="F18" s="6">
        <v>29.33</v>
      </c>
      <c r="G18" s="1">
        <v>45.4</v>
      </c>
      <c r="H18" s="1">
        <v>47</v>
      </c>
      <c r="I18" s="1">
        <v>41</v>
      </c>
      <c r="J18" s="6">
        <v>49.2</v>
      </c>
      <c r="K18" s="1">
        <v>1.9</v>
      </c>
      <c r="L18" s="6">
        <v>1.6</v>
      </c>
      <c r="M18" s="5">
        <v>0.26</v>
      </c>
      <c r="N18" s="6">
        <v>0.28399999999999997</v>
      </c>
      <c r="O18" s="1">
        <v>87</v>
      </c>
      <c r="P18" s="6">
        <v>89</v>
      </c>
      <c r="Q18" s="1" t="s">
        <v>42</v>
      </c>
      <c r="R18" s="1">
        <v>5</v>
      </c>
      <c r="S18" s="1" t="s">
        <v>39</v>
      </c>
      <c r="T18" s="6">
        <v>4</v>
      </c>
      <c r="U18" s="1">
        <v>3</v>
      </c>
      <c r="V18" s="1">
        <v>3</v>
      </c>
      <c r="W18" s="9">
        <v>2E-3</v>
      </c>
    </row>
    <row r="19" spans="1:23" s="1" customFormat="1" x14ac:dyDescent="0.2">
      <c r="A19" s="5" t="s">
        <v>54</v>
      </c>
      <c r="B19" s="1">
        <v>1899</v>
      </c>
      <c r="C19" s="1" t="s">
        <v>22</v>
      </c>
      <c r="D19" s="1">
        <v>15</v>
      </c>
      <c r="E19" s="5">
        <v>29.53</v>
      </c>
      <c r="F19" s="6">
        <v>29.58</v>
      </c>
      <c r="G19" s="1">
        <v>45.8</v>
      </c>
      <c r="H19" s="1">
        <v>36</v>
      </c>
      <c r="I19" s="1">
        <v>35</v>
      </c>
      <c r="J19" s="6">
        <v>49.5</v>
      </c>
      <c r="K19" s="1">
        <v>2.6</v>
      </c>
      <c r="L19" s="6">
        <v>0.8</v>
      </c>
      <c r="M19" s="5">
        <v>0.25</v>
      </c>
      <c r="N19" s="6">
        <v>0.19700000000000001</v>
      </c>
      <c r="O19" s="1">
        <v>81</v>
      </c>
      <c r="P19" s="6">
        <v>93</v>
      </c>
      <c r="Q19" s="1" t="s">
        <v>42</v>
      </c>
      <c r="R19" s="1">
        <v>3</v>
      </c>
      <c r="S19" s="1" t="s">
        <v>24</v>
      </c>
      <c r="T19" s="6">
        <v>1</v>
      </c>
      <c r="U19" s="1">
        <v>3</v>
      </c>
      <c r="V19" s="1">
        <v>0</v>
      </c>
      <c r="W19" s="9">
        <v>2E-3</v>
      </c>
    </row>
    <row r="20" spans="1:23" s="1" customFormat="1" x14ac:dyDescent="0.2">
      <c r="A20" s="5" t="s">
        <v>54</v>
      </c>
      <c r="B20" s="1">
        <v>1899</v>
      </c>
      <c r="C20" s="1" t="s">
        <v>22</v>
      </c>
      <c r="D20" s="1">
        <v>16</v>
      </c>
      <c r="E20" s="5">
        <v>29.61</v>
      </c>
      <c r="F20" s="6">
        <v>29.67</v>
      </c>
      <c r="G20" s="1">
        <v>45.8</v>
      </c>
      <c r="H20" s="1">
        <v>47</v>
      </c>
      <c r="I20" s="1">
        <v>33</v>
      </c>
      <c r="J20" s="6">
        <v>48.4</v>
      </c>
      <c r="K20" s="1">
        <v>2.2000000000000002</v>
      </c>
      <c r="L20" s="6">
        <v>0.2</v>
      </c>
      <c r="M20" s="5">
        <v>0.25900000000000001</v>
      </c>
      <c r="N20" s="6">
        <v>0.318</v>
      </c>
      <c r="O20" s="1">
        <v>84</v>
      </c>
      <c r="P20" s="6">
        <v>99</v>
      </c>
      <c r="Q20" s="1" t="s">
        <v>38</v>
      </c>
      <c r="R20" s="1">
        <v>3</v>
      </c>
      <c r="S20" s="1" t="s">
        <v>32</v>
      </c>
      <c r="T20" s="19" t="s">
        <v>59</v>
      </c>
      <c r="U20" s="1">
        <v>10</v>
      </c>
      <c r="V20" s="1">
        <v>10</v>
      </c>
      <c r="W20" s="9">
        <v>7.3999999999999996E-2</v>
      </c>
    </row>
    <row r="21" spans="1:23" s="1" customFormat="1" x14ac:dyDescent="0.2">
      <c r="A21" s="5" t="s">
        <v>54</v>
      </c>
      <c r="B21" s="1">
        <v>1899</v>
      </c>
      <c r="C21" s="1" t="s">
        <v>22</v>
      </c>
      <c r="D21" s="1">
        <v>17</v>
      </c>
      <c r="E21" s="5">
        <v>29.72</v>
      </c>
      <c r="F21" s="6">
        <v>29.8</v>
      </c>
      <c r="G21" s="1">
        <v>48.3</v>
      </c>
      <c r="H21" s="1">
        <v>48</v>
      </c>
      <c r="I21" s="1">
        <v>44.5</v>
      </c>
      <c r="J21" s="6">
        <v>48.7</v>
      </c>
      <c r="K21" s="1">
        <v>2.1</v>
      </c>
      <c r="L21" s="6">
        <v>0.7</v>
      </c>
      <c r="M21" s="5">
        <v>0.28699999999999998</v>
      </c>
      <c r="N21" s="6">
        <v>0.317</v>
      </c>
      <c r="O21" s="1">
        <v>85</v>
      </c>
      <c r="P21" s="6">
        <v>95</v>
      </c>
      <c r="Q21" s="1" t="s">
        <v>31</v>
      </c>
      <c r="R21" s="1">
        <v>4</v>
      </c>
      <c r="S21" s="1" t="s">
        <v>31</v>
      </c>
      <c r="T21" s="6">
        <v>2</v>
      </c>
      <c r="U21" s="1">
        <v>2</v>
      </c>
      <c r="V21" s="1">
        <v>10</v>
      </c>
      <c r="W21" s="9">
        <v>0.104</v>
      </c>
    </row>
    <row r="22" spans="1:23" s="1" customFormat="1" x14ac:dyDescent="0.2">
      <c r="A22" s="5" t="s">
        <v>54</v>
      </c>
      <c r="B22" s="1">
        <v>1899</v>
      </c>
      <c r="C22" s="1" t="s">
        <v>22</v>
      </c>
      <c r="D22" s="1">
        <v>18</v>
      </c>
      <c r="E22" s="5">
        <v>29.8</v>
      </c>
      <c r="F22" s="6">
        <v>29.89</v>
      </c>
      <c r="G22" s="1">
        <v>48.2</v>
      </c>
      <c r="H22" s="1">
        <v>43</v>
      </c>
      <c r="I22" s="1">
        <v>43</v>
      </c>
      <c r="J22" s="6">
        <v>48.6</v>
      </c>
      <c r="K22" s="1">
        <v>0</v>
      </c>
      <c r="L22" s="6">
        <v>0.8</v>
      </c>
      <c r="M22" s="5">
        <v>0.33700000000000002</v>
      </c>
      <c r="N22" s="6">
        <v>0.25900000000000001</v>
      </c>
      <c r="O22" s="1">
        <v>100</v>
      </c>
      <c r="P22" s="6">
        <v>94</v>
      </c>
      <c r="Q22" s="1" t="s">
        <v>38</v>
      </c>
      <c r="R22" s="1">
        <v>1</v>
      </c>
      <c r="S22" s="1" t="s">
        <v>29</v>
      </c>
      <c r="T22" s="6">
        <v>1</v>
      </c>
      <c r="U22" s="1">
        <v>10</v>
      </c>
      <c r="V22" s="1">
        <v>7</v>
      </c>
      <c r="W22" s="9">
        <v>0.01</v>
      </c>
    </row>
    <row r="23" spans="1:23" s="1" customFormat="1" x14ac:dyDescent="0.2">
      <c r="A23" s="5" t="s">
        <v>54</v>
      </c>
      <c r="B23" s="1">
        <v>1899</v>
      </c>
      <c r="C23" s="1" t="s">
        <v>22</v>
      </c>
      <c r="D23" s="1">
        <v>19</v>
      </c>
      <c r="E23" s="5">
        <v>29.99</v>
      </c>
      <c r="F23" s="6">
        <v>30.1</v>
      </c>
      <c r="G23" s="1">
        <v>42.8</v>
      </c>
      <c r="H23" s="1">
        <v>43</v>
      </c>
      <c r="I23" s="1">
        <v>39</v>
      </c>
      <c r="J23" s="6">
        <v>48.2</v>
      </c>
      <c r="K23" s="1">
        <v>1.3</v>
      </c>
      <c r="L23" s="6">
        <v>1</v>
      </c>
      <c r="M23" s="5">
        <v>0.247</v>
      </c>
      <c r="N23" s="6">
        <v>0.255</v>
      </c>
      <c r="O23" s="1">
        <v>90</v>
      </c>
      <c r="P23" s="6">
        <v>92</v>
      </c>
      <c r="Q23" s="1" t="s">
        <v>35</v>
      </c>
      <c r="R23" s="1">
        <v>1</v>
      </c>
      <c r="S23" s="1" t="s">
        <v>47</v>
      </c>
      <c r="T23" s="6">
        <v>3</v>
      </c>
      <c r="U23" s="1">
        <v>9</v>
      </c>
      <c r="V23" s="1">
        <v>4</v>
      </c>
      <c r="W23" s="9" t="s">
        <v>25</v>
      </c>
    </row>
    <row r="24" spans="1:23" s="1" customFormat="1" x14ac:dyDescent="0.2">
      <c r="A24" s="5" t="s">
        <v>54</v>
      </c>
      <c r="B24" s="1">
        <v>1899</v>
      </c>
      <c r="C24" s="1" t="s">
        <v>22</v>
      </c>
      <c r="D24" s="1">
        <v>20</v>
      </c>
      <c r="E24" s="5">
        <v>30.11</v>
      </c>
      <c r="F24" s="6">
        <v>30.06</v>
      </c>
      <c r="G24" s="1">
        <v>42.9</v>
      </c>
      <c r="H24" s="1">
        <v>42.1</v>
      </c>
      <c r="I24" s="1">
        <v>41.1</v>
      </c>
      <c r="J24" s="6">
        <v>43.5</v>
      </c>
      <c r="K24" s="1">
        <v>2.4</v>
      </c>
      <c r="L24" s="6">
        <v>1</v>
      </c>
      <c r="M24" s="5">
        <v>0.22600000000000001</v>
      </c>
      <c r="N24" s="6">
        <v>0.246</v>
      </c>
      <c r="O24" s="1">
        <v>82</v>
      </c>
      <c r="P24" s="6">
        <v>92</v>
      </c>
      <c r="Q24" s="1" t="s">
        <v>43</v>
      </c>
      <c r="R24" s="28" t="s">
        <v>60</v>
      </c>
      <c r="S24" s="1" t="s">
        <v>43</v>
      </c>
      <c r="T24" s="19" t="s">
        <v>56</v>
      </c>
      <c r="U24" s="1">
        <v>9</v>
      </c>
      <c r="V24" s="1">
        <v>10</v>
      </c>
      <c r="W24" s="9">
        <v>0.34</v>
      </c>
    </row>
    <row r="25" spans="1:23" s="1" customFormat="1" x14ac:dyDescent="0.2">
      <c r="A25" s="5" t="s">
        <v>54</v>
      </c>
      <c r="B25" s="1">
        <v>1899</v>
      </c>
      <c r="C25" s="1" t="s">
        <v>22</v>
      </c>
      <c r="D25" s="1">
        <v>21</v>
      </c>
      <c r="E25" s="5">
        <v>30.15</v>
      </c>
      <c r="F25" s="6">
        <v>30.16</v>
      </c>
      <c r="G25" s="1">
        <v>42.6</v>
      </c>
      <c r="H25" s="1">
        <v>41.4</v>
      </c>
      <c r="I25" s="1">
        <v>41</v>
      </c>
      <c r="J25" s="6">
        <v>47.5</v>
      </c>
      <c r="K25" s="1">
        <v>1.6</v>
      </c>
      <c r="L25" s="6">
        <v>2.4</v>
      </c>
      <c r="M25" s="5">
        <v>0.23799999999999999</v>
      </c>
      <c r="N25" s="6">
        <v>0.21199999999999999</v>
      </c>
      <c r="O25" s="1">
        <v>87</v>
      </c>
      <c r="P25" s="6">
        <v>82</v>
      </c>
      <c r="Q25" s="1" t="s">
        <v>31</v>
      </c>
      <c r="R25" s="1">
        <v>5</v>
      </c>
      <c r="S25" s="1" t="s">
        <v>33</v>
      </c>
      <c r="T25" s="6">
        <v>5</v>
      </c>
      <c r="U25" s="1">
        <v>7</v>
      </c>
      <c r="V25" s="1">
        <v>0</v>
      </c>
      <c r="W25" s="9" t="s">
        <v>25</v>
      </c>
    </row>
    <row r="26" spans="1:23" s="1" customFormat="1" x14ac:dyDescent="0.2">
      <c r="A26" s="5" t="s">
        <v>54</v>
      </c>
      <c r="B26" s="1">
        <v>1899</v>
      </c>
      <c r="C26" s="1" t="s">
        <v>22</v>
      </c>
      <c r="D26" s="1">
        <v>22</v>
      </c>
      <c r="E26" s="5">
        <v>30.15</v>
      </c>
      <c r="F26" s="6">
        <v>30.12</v>
      </c>
      <c r="G26" s="1">
        <v>41.5</v>
      </c>
      <c r="H26" s="1">
        <v>41</v>
      </c>
      <c r="I26" s="1">
        <v>39</v>
      </c>
      <c r="J26" s="6">
        <v>47.2</v>
      </c>
      <c r="K26" s="1">
        <v>1.9</v>
      </c>
      <c r="L26" s="6">
        <v>0.8</v>
      </c>
      <c r="M26" s="5">
        <v>0.223</v>
      </c>
      <c r="N26" s="6">
        <v>0.23899999999999999</v>
      </c>
      <c r="O26" s="1">
        <v>86</v>
      </c>
      <c r="P26" s="6">
        <v>94</v>
      </c>
      <c r="Q26" s="1" t="s">
        <v>33</v>
      </c>
      <c r="R26" s="1">
        <v>4</v>
      </c>
      <c r="S26" s="1" t="s">
        <v>30</v>
      </c>
      <c r="T26" s="6">
        <v>2</v>
      </c>
      <c r="U26" s="1">
        <v>3</v>
      </c>
      <c r="V26" s="1">
        <v>0</v>
      </c>
      <c r="W26" s="9" t="s">
        <v>25</v>
      </c>
    </row>
    <row r="27" spans="1:23" s="1" customFormat="1" x14ac:dyDescent="0.2">
      <c r="A27" s="5" t="s">
        <v>54</v>
      </c>
      <c r="B27" s="1">
        <v>1899</v>
      </c>
      <c r="C27" s="1" t="s">
        <v>22</v>
      </c>
      <c r="D27" s="1">
        <v>23</v>
      </c>
      <c r="E27" s="5">
        <v>30.06</v>
      </c>
      <c r="F27" s="6">
        <v>30.07</v>
      </c>
      <c r="G27" s="1">
        <v>42.7</v>
      </c>
      <c r="H27" s="1">
        <v>35.799999999999997</v>
      </c>
      <c r="I27" s="1">
        <v>35</v>
      </c>
      <c r="J27" s="6">
        <v>50.8</v>
      </c>
      <c r="K27" s="1">
        <v>2.7</v>
      </c>
      <c r="L27" s="6">
        <v>0.6</v>
      </c>
      <c r="M27" s="5">
        <v>0.218</v>
      </c>
      <c r="N27" s="6">
        <v>0.19900000000000001</v>
      </c>
      <c r="O27" s="1">
        <v>80</v>
      </c>
      <c r="P27" s="6">
        <v>95</v>
      </c>
      <c r="Q27" s="1" t="s">
        <v>43</v>
      </c>
      <c r="R27" s="1">
        <v>3</v>
      </c>
      <c r="S27" s="1" t="s">
        <v>24</v>
      </c>
      <c r="T27" s="6">
        <v>1</v>
      </c>
      <c r="U27" s="1">
        <v>3</v>
      </c>
      <c r="V27" s="1">
        <v>2</v>
      </c>
      <c r="W27" s="9" t="s">
        <v>25</v>
      </c>
    </row>
    <row r="28" spans="1:23" s="1" customFormat="1" x14ac:dyDescent="0.2">
      <c r="A28" s="5" t="s">
        <v>54</v>
      </c>
      <c r="B28" s="1">
        <v>1899</v>
      </c>
      <c r="C28" s="1" t="s">
        <v>22</v>
      </c>
      <c r="D28" s="1">
        <v>24</v>
      </c>
      <c r="E28" s="5">
        <v>30.12</v>
      </c>
      <c r="F28" s="6">
        <v>30.11</v>
      </c>
      <c r="G28" s="1">
        <v>45</v>
      </c>
      <c r="H28" s="1">
        <v>33.799999999999997</v>
      </c>
      <c r="I28" s="1">
        <v>33.799999999999997</v>
      </c>
      <c r="J28" s="6">
        <v>47.3</v>
      </c>
      <c r="K28" s="1">
        <v>1.4</v>
      </c>
      <c r="L28" s="6">
        <v>1.2</v>
      </c>
      <c r="M28" s="5">
        <v>0.26600000000000001</v>
      </c>
      <c r="N28" s="6">
        <v>0.17</v>
      </c>
      <c r="O28" s="1">
        <v>89</v>
      </c>
      <c r="P28" s="6">
        <v>87</v>
      </c>
      <c r="Q28" s="1" t="s">
        <v>33</v>
      </c>
      <c r="R28" s="1">
        <v>3</v>
      </c>
      <c r="S28" s="1" t="s">
        <v>36</v>
      </c>
      <c r="T28" s="6">
        <v>0</v>
      </c>
      <c r="U28" s="1">
        <v>9</v>
      </c>
      <c r="V28" s="1">
        <v>0</v>
      </c>
      <c r="W28" s="9" t="s">
        <v>25</v>
      </c>
    </row>
    <row r="29" spans="1:23" s="1" customFormat="1" x14ac:dyDescent="0.2">
      <c r="A29" s="5" t="s">
        <v>54</v>
      </c>
      <c r="B29" s="1">
        <v>1899</v>
      </c>
      <c r="C29" s="1" t="s">
        <v>22</v>
      </c>
      <c r="D29" s="1">
        <v>25</v>
      </c>
      <c r="E29" s="5">
        <v>30.15</v>
      </c>
      <c r="F29" s="6">
        <v>30.19</v>
      </c>
      <c r="G29" s="1">
        <v>40.200000000000003</v>
      </c>
      <c r="H29" s="1">
        <v>40.200000000000003</v>
      </c>
      <c r="I29" s="1">
        <v>32.6</v>
      </c>
      <c r="J29" s="6">
        <v>44</v>
      </c>
      <c r="K29" s="1">
        <v>1.6</v>
      </c>
      <c r="L29" s="6">
        <v>0.7</v>
      </c>
      <c r="M29" s="5">
        <v>0.216</v>
      </c>
      <c r="N29" s="6">
        <v>0.23499999999999999</v>
      </c>
      <c r="O29" s="1">
        <v>87</v>
      </c>
      <c r="P29" s="6">
        <v>94</v>
      </c>
      <c r="Q29" s="1" t="s">
        <v>33</v>
      </c>
      <c r="R29" s="1">
        <v>4</v>
      </c>
      <c r="S29" s="1" t="s">
        <v>33</v>
      </c>
      <c r="T29" s="6">
        <v>4</v>
      </c>
      <c r="U29" s="1">
        <v>6</v>
      </c>
      <c r="V29" s="1">
        <v>3</v>
      </c>
      <c r="W29" s="9" t="s">
        <v>25</v>
      </c>
    </row>
    <row r="30" spans="1:23" s="1" customFormat="1" x14ac:dyDescent="0.2">
      <c r="A30" s="5" t="s">
        <v>54</v>
      </c>
      <c r="B30" s="1">
        <v>1899</v>
      </c>
      <c r="C30" s="1" t="s">
        <v>22</v>
      </c>
      <c r="D30" s="1">
        <v>26</v>
      </c>
      <c r="E30" s="5">
        <v>30.2</v>
      </c>
      <c r="F30" s="6">
        <v>30.23</v>
      </c>
      <c r="G30" s="1">
        <v>37.200000000000003</v>
      </c>
      <c r="H30" s="1">
        <v>31.6</v>
      </c>
      <c r="I30" s="1">
        <v>31.6</v>
      </c>
      <c r="J30" s="6">
        <v>43.8</v>
      </c>
      <c r="K30" s="1">
        <v>1.6</v>
      </c>
      <c r="L30" s="6">
        <v>0.4</v>
      </c>
      <c r="M30" s="5">
        <v>0.191</v>
      </c>
      <c r="N30" s="6">
        <v>0.16900000000000001</v>
      </c>
      <c r="O30" s="1">
        <v>86</v>
      </c>
      <c r="P30" s="6">
        <v>95</v>
      </c>
      <c r="Q30" s="1" t="s">
        <v>43</v>
      </c>
      <c r="R30" s="1">
        <v>3</v>
      </c>
      <c r="S30" s="1" t="s">
        <v>24</v>
      </c>
      <c r="T30" s="6">
        <v>1</v>
      </c>
      <c r="U30" s="1">
        <v>8</v>
      </c>
      <c r="V30" s="1">
        <v>0</v>
      </c>
      <c r="W30" s="9" t="s">
        <v>25</v>
      </c>
    </row>
    <row r="31" spans="1:23" s="1" customFormat="1" x14ac:dyDescent="0.2">
      <c r="A31" s="5" t="s">
        <v>54</v>
      </c>
      <c r="B31" s="1">
        <v>1899</v>
      </c>
      <c r="C31" s="1" t="s">
        <v>22</v>
      </c>
      <c r="D31" s="1">
        <v>27</v>
      </c>
      <c r="E31" s="5">
        <v>30.31</v>
      </c>
      <c r="F31" s="6">
        <v>30.39</v>
      </c>
      <c r="G31" s="1">
        <v>40</v>
      </c>
      <c r="H31" s="1">
        <v>33</v>
      </c>
      <c r="I31" s="1">
        <v>29</v>
      </c>
      <c r="J31" s="6">
        <v>48.4</v>
      </c>
      <c r="K31" s="1">
        <v>1.2</v>
      </c>
      <c r="L31" s="6">
        <v>1.2</v>
      </c>
      <c r="M31" s="5">
        <v>0.222</v>
      </c>
      <c r="N31" s="6">
        <v>0.16300000000000001</v>
      </c>
      <c r="O31" s="1">
        <v>90</v>
      </c>
      <c r="P31" s="6">
        <v>87</v>
      </c>
      <c r="Q31" s="1" t="s">
        <v>36</v>
      </c>
      <c r="R31" s="1">
        <v>0</v>
      </c>
      <c r="S31" s="1" t="s">
        <v>23</v>
      </c>
      <c r="T31" s="6">
        <v>2</v>
      </c>
      <c r="U31" s="1">
        <v>0</v>
      </c>
      <c r="V31" s="1">
        <v>0</v>
      </c>
      <c r="W31" s="9" t="s">
        <v>25</v>
      </c>
    </row>
    <row r="32" spans="1:23" s="1" customFormat="1" x14ac:dyDescent="0.2">
      <c r="A32" s="5" t="s">
        <v>54</v>
      </c>
      <c r="B32" s="1">
        <v>1899</v>
      </c>
      <c r="C32" s="1" t="s">
        <v>22</v>
      </c>
      <c r="D32" s="1">
        <v>28</v>
      </c>
      <c r="E32" s="5">
        <v>30.43</v>
      </c>
      <c r="F32" s="6">
        <v>30.45</v>
      </c>
      <c r="G32" s="1">
        <v>45.7</v>
      </c>
      <c r="H32" s="1">
        <v>48.6</v>
      </c>
      <c r="I32" s="1">
        <v>32</v>
      </c>
      <c r="J32" s="6">
        <v>50.5</v>
      </c>
      <c r="K32" s="1">
        <v>1.5</v>
      </c>
      <c r="L32" s="6">
        <v>2.8</v>
      </c>
      <c r="M32" s="5">
        <v>0.27200000000000002</v>
      </c>
      <c r="N32" s="6">
        <v>0.27600000000000002</v>
      </c>
      <c r="O32" s="1">
        <v>89</v>
      </c>
      <c r="P32" s="6">
        <v>81</v>
      </c>
      <c r="Q32" s="1" t="s">
        <v>35</v>
      </c>
      <c r="R32" s="1">
        <v>4</v>
      </c>
      <c r="S32" s="1" t="s">
        <v>42</v>
      </c>
      <c r="T32" s="6">
        <v>3</v>
      </c>
      <c r="U32" s="1">
        <v>7</v>
      </c>
      <c r="V32" s="1">
        <v>7</v>
      </c>
      <c r="W32" s="9">
        <v>1E-3</v>
      </c>
    </row>
    <row r="33" spans="1:23" s="1" customFormat="1" x14ac:dyDescent="0.2">
      <c r="A33" s="10"/>
      <c r="B33" s="11"/>
      <c r="C33" s="11"/>
      <c r="D33" s="12" t="s">
        <v>45</v>
      </c>
      <c r="E33" s="11">
        <v>29.623999999999999</v>
      </c>
      <c r="F33" s="12">
        <v>29.640999999999998</v>
      </c>
      <c r="G33" s="10">
        <v>43.2</v>
      </c>
      <c r="H33" s="11">
        <v>41.5</v>
      </c>
      <c r="I33" s="11">
        <v>37.4</v>
      </c>
      <c r="J33" s="12">
        <v>46.8</v>
      </c>
      <c r="K33" s="10">
        <v>1.5</v>
      </c>
      <c r="L33" s="12">
        <v>1.2</v>
      </c>
      <c r="M33" s="11">
        <v>0.251</v>
      </c>
      <c r="N33" s="11">
        <v>0.24199999999999999</v>
      </c>
      <c r="O33" s="10">
        <v>88.4</v>
      </c>
      <c r="P33" s="12">
        <v>90.1</v>
      </c>
      <c r="Q33" s="10" t="s">
        <v>25</v>
      </c>
      <c r="R33" s="11">
        <v>3.2</v>
      </c>
      <c r="S33" s="11" t="s">
        <v>25</v>
      </c>
      <c r="T33" s="12">
        <v>3.4</v>
      </c>
      <c r="U33" s="10">
        <v>6.8</v>
      </c>
      <c r="V33" s="12">
        <v>5.2</v>
      </c>
      <c r="W33" s="13">
        <v>3.0230000000000001</v>
      </c>
    </row>
    <row r="34" spans="1:23" x14ac:dyDescent="0.2">
      <c r="F34">
        <f>SUM(F5:F32)/28</f>
        <v>29.641785714285714</v>
      </c>
    </row>
  </sheetData>
  <mergeCells count="8">
    <mergeCell ref="K3:L3"/>
    <mergeCell ref="M3:N3"/>
    <mergeCell ref="O3:P3"/>
    <mergeCell ref="E2:F2"/>
    <mergeCell ref="G2:J2"/>
    <mergeCell ref="K2:P2"/>
    <mergeCell ref="Q2:T2"/>
    <mergeCell ref="U2:V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58535-F46B-4397-857F-B5B0AFE46BF9}">
  <dimension ref="A2:W34"/>
  <sheetViews>
    <sheetView topLeftCell="N1" workbookViewId="0">
      <selection activeCell="W34" sqref="W34"/>
    </sheetView>
  </sheetViews>
  <sheetFormatPr baseColWidth="10" defaultColWidth="8.83203125" defaultRowHeight="15" x14ac:dyDescent="0.2"/>
  <cols>
    <col min="1" max="1" width="14" customWidth="1"/>
  </cols>
  <sheetData>
    <row r="2" spans="1:23" s="2" customFormat="1" ht="32" x14ac:dyDescent="0.2">
      <c r="A2" s="14"/>
      <c r="B2" s="15"/>
      <c r="C2" s="15"/>
      <c r="D2" s="15"/>
      <c r="E2" s="31" t="s">
        <v>0</v>
      </c>
      <c r="F2" s="32"/>
      <c r="G2" s="33" t="s">
        <v>1</v>
      </c>
      <c r="H2" s="33"/>
      <c r="I2" s="33"/>
      <c r="J2" s="34"/>
      <c r="K2" s="29" t="s">
        <v>2</v>
      </c>
      <c r="L2" s="33"/>
      <c r="M2" s="33"/>
      <c r="N2" s="33"/>
      <c r="O2" s="33"/>
      <c r="P2" s="34"/>
      <c r="Q2" s="33" t="s">
        <v>3</v>
      </c>
      <c r="R2" s="33"/>
      <c r="S2" s="33"/>
      <c r="T2" s="34"/>
      <c r="U2" s="29" t="s">
        <v>4</v>
      </c>
      <c r="V2" s="30"/>
      <c r="W2" s="7" t="s">
        <v>5</v>
      </c>
    </row>
    <row r="3" spans="1:23" s="2" customFormat="1" x14ac:dyDescent="0.2">
      <c r="A3" s="3"/>
      <c r="E3" s="16"/>
      <c r="F3" s="17"/>
      <c r="J3" s="4"/>
      <c r="K3" s="35" t="s">
        <v>6</v>
      </c>
      <c r="L3" s="36"/>
      <c r="M3" s="35" t="s">
        <v>7</v>
      </c>
      <c r="N3" s="36"/>
      <c r="O3" s="37" t="s">
        <v>8</v>
      </c>
      <c r="P3" s="38"/>
      <c r="T3" s="4"/>
      <c r="V3" s="1"/>
      <c r="W3" s="18"/>
    </row>
    <row r="4" spans="1:23" s="2" customFormat="1" x14ac:dyDescent="0.2">
      <c r="A4" s="3" t="s">
        <v>9</v>
      </c>
      <c r="B4" s="2" t="s">
        <v>10</v>
      </c>
      <c r="C4" s="2" t="s">
        <v>11</v>
      </c>
      <c r="D4" s="2" t="s">
        <v>12</v>
      </c>
      <c r="E4" s="3" t="s">
        <v>13</v>
      </c>
      <c r="F4" s="4" t="s">
        <v>14</v>
      </c>
      <c r="G4" s="2" t="s">
        <v>13</v>
      </c>
      <c r="H4" s="2" t="s">
        <v>14</v>
      </c>
      <c r="I4" s="2" t="s">
        <v>15</v>
      </c>
      <c r="J4" s="4" t="s">
        <v>16</v>
      </c>
      <c r="K4" s="2" t="s">
        <v>13</v>
      </c>
      <c r="L4" s="4" t="s">
        <v>14</v>
      </c>
      <c r="M4" s="3" t="s">
        <v>13</v>
      </c>
      <c r="N4" s="4" t="s">
        <v>14</v>
      </c>
      <c r="O4" s="2" t="s">
        <v>13</v>
      </c>
      <c r="P4" s="4" t="s">
        <v>14</v>
      </c>
      <c r="Q4" s="2" t="s">
        <v>17</v>
      </c>
      <c r="R4" s="2" t="s">
        <v>18</v>
      </c>
      <c r="S4" s="2" t="s">
        <v>19</v>
      </c>
      <c r="T4" s="4" t="s">
        <v>20</v>
      </c>
      <c r="U4" s="2" t="s">
        <v>13</v>
      </c>
      <c r="V4" s="2" t="s">
        <v>14</v>
      </c>
      <c r="W4" s="8" t="s">
        <v>13</v>
      </c>
    </row>
    <row r="5" spans="1:23" s="1" customFormat="1" x14ac:dyDescent="0.2">
      <c r="A5" s="5" t="s">
        <v>61</v>
      </c>
      <c r="B5" s="1">
        <v>1899</v>
      </c>
      <c r="C5" s="1" t="s">
        <v>22</v>
      </c>
      <c r="D5" s="1">
        <v>1</v>
      </c>
      <c r="E5" s="5">
        <v>29.11</v>
      </c>
      <c r="F5" s="6">
        <v>29.12</v>
      </c>
      <c r="G5" s="1">
        <v>33.799999999999997</v>
      </c>
      <c r="H5" s="1">
        <v>32.4</v>
      </c>
      <c r="I5" s="1">
        <v>32</v>
      </c>
      <c r="J5" s="6">
        <v>39.299999999999997</v>
      </c>
      <c r="K5" s="1">
        <v>1.8</v>
      </c>
      <c r="L5" s="6">
        <v>2.4</v>
      </c>
      <c r="M5" s="5">
        <v>0.158</v>
      </c>
      <c r="N5" s="6">
        <v>0.13400000000000001</v>
      </c>
      <c r="O5" s="1">
        <v>81</v>
      </c>
      <c r="P5" s="6">
        <v>73</v>
      </c>
      <c r="Q5" s="1" t="s">
        <v>36</v>
      </c>
      <c r="R5" s="1">
        <v>0</v>
      </c>
      <c r="S5" s="1" t="s">
        <v>62</v>
      </c>
      <c r="T5" s="6">
        <v>1</v>
      </c>
      <c r="U5" s="1">
        <v>8</v>
      </c>
      <c r="V5" s="1">
        <v>0</v>
      </c>
      <c r="W5" s="9">
        <v>5.0000000000000001E-3</v>
      </c>
    </row>
    <row r="6" spans="1:23" s="1" customFormat="1" x14ac:dyDescent="0.2">
      <c r="A6" s="5" t="s">
        <v>61</v>
      </c>
      <c r="B6" s="1">
        <v>1899</v>
      </c>
      <c r="C6" s="1" t="s">
        <v>22</v>
      </c>
      <c r="D6" s="1">
        <v>2</v>
      </c>
      <c r="E6" s="5">
        <v>29.19</v>
      </c>
      <c r="F6" s="6">
        <v>29.34</v>
      </c>
      <c r="G6" s="1">
        <v>32.799999999999997</v>
      </c>
      <c r="H6" s="1">
        <v>32</v>
      </c>
      <c r="I6" s="1">
        <v>29.6</v>
      </c>
      <c r="J6" s="6">
        <v>39</v>
      </c>
      <c r="K6" s="1">
        <v>0.9</v>
      </c>
      <c r="L6" s="6">
        <v>2.5</v>
      </c>
      <c r="M6" s="5">
        <v>0.16800000000000001</v>
      </c>
      <c r="N6" s="6">
        <v>0.127</v>
      </c>
      <c r="O6" s="1">
        <v>90</v>
      </c>
      <c r="P6" s="6">
        <v>70</v>
      </c>
      <c r="Q6" s="1" t="s">
        <v>36</v>
      </c>
      <c r="R6" s="1">
        <v>0</v>
      </c>
      <c r="S6" s="1" t="s">
        <v>36</v>
      </c>
      <c r="T6" s="6">
        <v>0</v>
      </c>
      <c r="U6" s="1">
        <v>9</v>
      </c>
      <c r="V6" s="1">
        <v>0</v>
      </c>
      <c r="W6" s="9" t="s">
        <v>25</v>
      </c>
    </row>
    <row r="7" spans="1:23" s="1" customFormat="1" x14ac:dyDescent="0.2">
      <c r="A7" s="5" t="s">
        <v>61</v>
      </c>
      <c r="B7" s="1">
        <v>1899</v>
      </c>
      <c r="C7" s="1" t="s">
        <v>22</v>
      </c>
      <c r="D7" s="1">
        <v>3</v>
      </c>
      <c r="E7" s="5">
        <v>29.47</v>
      </c>
      <c r="F7" s="6">
        <v>29.56</v>
      </c>
      <c r="G7" s="1">
        <v>24.5</v>
      </c>
      <c r="H7" s="1">
        <v>28.8</v>
      </c>
      <c r="I7" s="1">
        <v>23.3</v>
      </c>
      <c r="J7" s="6">
        <v>37.299999999999997</v>
      </c>
      <c r="K7" s="1">
        <v>1</v>
      </c>
      <c r="L7" s="6">
        <v>1.5</v>
      </c>
      <c r="M7" s="5">
        <v>9.9000000000000005E-2</v>
      </c>
      <c r="N7" s="6">
        <v>0.11700000000000001</v>
      </c>
      <c r="O7" s="1">
        <v>75</v>
      </c>
      <c r="P7" s="6">
        <v>75</v>
      </c>
      <c r="Q7" s="1" t="s">
        <v>36</v>
      </c>
      <c r="R7" s="1">
        <v>0</v>
      </c>
      <c r="S7" s="1" t="s">
        <v>36</v>
      </c>
      <c r="T7" s="6">
        <v>0</v>
      </c>
      <c r="U7" s="1">
        <v>0</v>
      </c>
      <c r="V7" s="1">
        <v>0</v>
      </c>
      <c r="W7" s="9" t="s">
        <v>25</v>
      </c>
    </row>
    <row r="8" spans="1:23" s="1" customFormat="1" x14ac:dyDescent="0.2">
      <c r="A8" s="5" t="s">
        <v>61</v>
      </c>
      <c r="B8" s="1">
        <v>1899</v>
      </c>
      <c r="C8" s="1" t="s">
        <v>22</v>
      </c>
      <c r="D8" s="1">
        <v>4</v>
      </c>
      <c r="E8" s="5">
        <v>29.53</v>
      </c>
      <c r="F8" s="6">
        <v>29.32</v>
      </c>
      <c r="G8" s="1">
        <v>28.2</v>
      </c>
      <c r="H8" s="1">
        <v>32.200000000000003</v>
      </c>
      <c r="I8" s="1">
        <v>24.5</v>
      </c>
      <c r="J8" s="6">
        <v>36.299999999999997</v>
      </c>
      <c r="K8" s="1">
        <v>1.2</v>
      </c>
      <c r="L8" s="6">
        <v>0.2</v>
      </c>
      <c r="M8" s="5">
        <v>0.11899999999999999</v>
      </c>
      <c r="N8" s="6">
        <v>0.17899999999999999</v>
      </c>
      <c r="O8" s="1">
        <v>77</v>
      </c>
      <c r="P8" s="6">
        <v>98</v>
      </c>
      <c r="Q8" s="1" t="s">
        <v>36</v>
      </c>
      <c r="R8" s="1">
        <v>0</v>
      </c>
      <c r="S8" s="1" t="s">
        <v>38</v>
      </c>
      <c r="T8" s="6">
        <v>1</v>
      </c>
      <c r="U8" s="1">
        <v>4</v>
      </c>
      <c r="V8" s="1">
        <v>10</v>
      </c>
      <c r="W8" s="9">
        <v>4.4999999999999998E-2</v>
      </c>
    </row>
    <row r="9" spans="1:23" s="1" customFormat="1" x14ac:dyDescent="0.2">
      <c r="A9" s="5" t="s">
        <v>61</v>
      </c>
      <c r="B9" s="1">
        <v>1899</v>
      </c>
      <c r="C9" s="1" t="s">
        <v>22</v>
      </c>
      <c r="D9" s="1">
        <v>5</v>
      </c>
      <c r="E9" s="5">
        <v>29.2</v>
      </c>
      <c r="F9" s="6">
        <v>29.41</v>
      </c>
      <c r="G9" s="1">
        <v>33.200000000000003</v>
      </c>
      <c r="H9" s="1">
        <v>34.9</v>
      </c>
      <c r="I9" s="1">
        <v>31.7</v>
      </c>
      <c r="J9" s="6">
        <v>37.700000000000003</v>
      </c>
      <c r="K9" s="1">
        <v>1.2</v>
      </c>
      <c r="L9" s="6">
        <v>0.9</v>
      </c>
      <c r="M9" s="5">
        <v>0.16500000000000001</v>
      </c>
      <c r="N9" s="6">
        <v>0.185</v>
      </c>
      <c r="O9" s="1">
        <v>87</v>
      </c>
      <c r="P9" s="6">
        <v>91</v>
      </c>
      <c r="Q9" s="1" t="s">
        <v>63</v>
      </c>
      <c r="R9" s="1">
        <v>1</v>
      </c>
      <c r="S9" s="1" t="s">
        <v>47</v>
      </c>
      <c r="T9" s="6">
        <v>1</v>
      </c>
      <c r="U9" s="1">
        <v>10</v>
      </c>
      <c r="V9" s="1">
        <v>10</v>
      </c>
      <c r="W9" s="9">
        <v>0.04</v>
      </c>
    </row>
    <row r="10" spans="1:23" s="1" customFormat="1" x14ac:dyDescent="0.2">
      <c r="A10" s="5" t="s">
        <v>61</v>
      </c>
      <c r="B10" s="1">
        <v>1899</v>
      </c>
      <c r="C10" s="1" t="s">
        <v>22</v>
      </c>
      <c r="D10" s="1">
        <v>6</v>
      </c>
      <c r="E10" s="5">
        <v>29.42</v>
      </c>
      <c r="F10" s="6">
        <v>29.29</v>
      </c>
      <c r="G10" s="1">
        <v>33.9</v>
      </c>
      <c r="H10" s="1">
        <v>33</v>
      </c>
      <c r="I10" s="1">
        <v>32.299999999999997</v>
      </c>
      <c r="J10" s="6">
        <v>35.5</v>
      </c>
      <c r="K10" s="1">
        <v>1</v>
      </c>
      <c r="L10" s="6">
        <v>1</v>
      </c>
      <c r="M10" s="5">
        <v>0.17499999999999999</v>
      </c>
      <c r="N10" s="6">
        <v>0.16700000000000001</v>
      </c>
      <c r="O10" s="1">
        <v>89</v>
      </c>
      <c r="P10" s="6">
        <v>89</v>
      </c>
      <c r="Q10" s="1" t="s">
        <v>43</v>
      </c>
      <c r="R10" s="1">
        <v>2</v>
      </c>
      <c r="S10" s="1" t="s">
        <v>43</v>
      </c>
      <c r="T10" s="6">
        <v>2</v>
      </c>
      <c r="U10" s="1">
        <v>10</v>
      </c>
      <c r="V10" s="1">
        <v>10</v>
      </c>
      <c r="W10" s="9">
        <v>0.14000000000000001</v>
      </c>
    </row>
    <row r="11" spans="1:23" s="1" customFormat="1" x14ac:dyDescent="0.2">
      <c r="A11" s="5" t="s">
        <v>61</v>
      </c>
      <c r="B11" s="1">
        <v>1899</v>
      </c>
      <c r="C11" s="1" t="s">
        <v>22</v>
      </c>
      <c r="D11" s="1">
        <v>7</v>
      </c>
      <c r="E11" s="5">
        <v>29</v>
      </c>
      <c r="F11" s="6">
        <v>28.97</v>
      </c>
      <c r="G11" s="1">
        <v>38.299999999999997</v>
      </c>
      <c r="H11" s="1">
        <v>42.3</v>
      </c>
      <c r="I11" s="1">
        <v>32.6</v>
      </c>
      <c r="J11" s="6">
        <v>45.1</v>
      </c>
      <c r="K11" s="1">
        <v>1</v>
      </c>
      <c r="L11" s="6">
        <v>1</v>
      </c>
      <c r="M11" s="5">
        <v>0.21099999999999999</v>
      </c>
      <c r="N11" s="6">
        <v>0.249</v>
      </c>
      <c r="O11" s="1">
        <v>92</v>
      </c>
      <c r="P11" s="6">
        <v>92</v>
      </c>
      <c r="Q11" s="1" t="s">
        <v>64</v>
      </c>
      <c r="R11" s="1">
        <v>2</v>
      </c>
      <c r="S11" s="1" t="s">
        <v>35</v>
      </c>
      <c r="T11" s="6">
        <v>1</v>
      </c>
      <c r="U11" s="1">
        <v>10</v>
      </c>
      <c r="V11" s="1">
        <v>0</v>
      </c>
      <c r="W11" s="9">
        <v>0.25</v>
      </c>
    </row>
    <row r="12" spans="1:23" s="1" customFormat="1" x14ac:dyDescent="0.2">
      <c r="A12" s="5" t="s">
        <v>61</v>
      </c>
      <c r="B12" s="1">
        <v>1899</v>
      </c>
      <c r="C12" s="1" t="s">
        <v>22</v>
      </c>
      <c r="D12" s="1">
        <v>8</v>
      </c>
      <c r="E12" s="5">
        <v>28.9</v>
      </c>
      <c r="F12" s="6">
        <v>28.72</v>
      </c>
      <c r="G12" s="1">
        <v>42</v>
      </c>
      <c r="H12" s="1">
        <v>47.4</v>
      </c>
      <c r="I12" s="1">
        <v>40.9</v>
      </c>
      <c r="J12" s="6">
        <v>49.5</v>
      </c>
      <c r="K12" s="1">
        <v>1.3</v>
      </c>
      <c r="L12" s="6">
        <v>2.2999999999999998</v>
      </c>
      <c r="M12" s="5">
        <v>0.23899999999999999</v>
      </c>
      <c r="N12" s="6">
        <v>0.27200000000000002</v>
      </c>
      <c r="O12" s="1">
        <v>90</v>
      </c>
      <c r="P12" s="6">
        <v>84</v>
      </c>
      <c r="Q12" s="1" t="s">
        <v>38</v>
      </c>
      <c r="R12" s="1">
        <v>2</v>
      </c>
      <c r="S12" s="1" t="s">
        <v>39</v>
      </c>
      <c r="T12" s="6">
        <v>3</v>
      </c>
      <c r="U12" s="1">
        <v>8</v>
      </c>
      <c r="V12" s="1">
        <v>10</v>
      </c>
      <c r="W12" s="9">
        <v>0.06</v>
      </c>
    </row>
    <row r="13" spans="1:23" s="1" customFormat="1" x14ac:dyDescent="0.2">
      <c r="A13" s="5" t="s">
        <v>61</v>
      </c>
      <c r="B13" s="1">
        <v>1899</v>
      </c>
      <c r="C13" s="1" t="s">
        <v>22</v>
      </c>
      <c r="D13" s="1">
        <v>9</v>
      </c>
      <c r="E13" s="5">
        <v>28.92</v>
      </c>
      <c r="F13" s="6">
        <v>28.77</v>
      </c>
      <c r="G13" s="1">
        <v>48.4</v>
      </c>
      <c r="H13" s="1">
        <v>54.6</v>
      </c>
      <c r="I13" s="1">
        <v>41.1</v>
      </c>
      <c r="J13" s="6">
        <v>54.8</v>
      </c>
      <c r="K13" s="1">
        <v>2</v>
      </c>
      <c r="L13" s="6">
        <v>3.6</v>
      </c>
      <c r="M13" s="5">
        <v>0.29099999999999998</v>
      </c>
      <c r="N13" s="6">
        <v>0.32900000000000001</v>
      </c>
      <c r="O13" s="1">
        <v>86</v>
      </c>
      <c r="P13" s="6">
        <v>77</v>
      </c>
      <c r="Q13" s="1" t="s">
        <v>35</v>
      </c>
      <c r="R13" s="1">
        <v>3</v>
      </c>
      <c r="S13" s="1" t="s">
        <v>39</v>
      </c>
      <c r="T13" s="6">
        <v>6</v>
      </c>
      <c r="U13" s="1">
        <v>10</v>
      </c>
      <c r="V13" s="1">
        <v>10</v>
      </c>
      <c r="W13" s="9">
        <v>0.81</v>
      </c>
    </row>
    <row r="14" spans="1:23" s="1" customFormat="1" x14ac:dyDescent="0.2">
      <c r="A14" s="5" t="s">
        <v>61</v>
      </c>
      <c r="B14" s="1">
        <v>1899</v>
      </c>
      <c r="C14" s="1" t="s">
        <v>22</v>
      </c>
      <c r="D14" s="1">
        <v>10</v>
      </c>
      <c r="E14" s="5">
        <v>28.87</v>
      </c>
      <c r="F14" s="6">
        <v>28.96</v>
      </c>
      <c r="G14" s="1">
        <v>54.4</v>
      </c>
      <c r="H14" s="1">
        <v>48.5</v>
      </c>
      <c r="I14" s="1">
        <v>48.1</v>
      </c>
      <c r="J14" s="6">
        <v>55.6</v>
      </c>
      <c r="K14" s="1">
        <v>3.4</v>
      </c>
      <c r="L14" s="6">
        <v>2.8</v>
      </c>
      <c r="M14" s="5">
        <v>0.33</v>
      </c>
      <c r="N14" s="6">
        <v>0.27400000000000002</v>
      </c>
      <c r="O14" s="1">
        <v>78</v>
      </c>
      <c r="P14" s="6">
        <v>81</v>
      </c>
      <c r="Q14" s="1" t="s">
        <v>40</v>
      </c>
      <c r="R14" s="1">
        <v>5</v>
      </c>
      <c r="S14" s="1" t="s">
        <v>40</v>
      </c>
      <c r="T14" s="6">
        <v>4</v>
      </c>
      <c r="U14" s="1">
        <v>10</v>
      </c>
      <c r="V14" s="1">
        <v>9</v>
      </c>
      <c r="W14" s="9">
        <v>0.17499999999999999</v>
      </c>
    </row>
    <row r="15" spans="1:23" s="1" customFormat="1" x14ac:dyDescent="0.2">
      <c r="A15" s="5" t="s">
        <v>61</v>
      </c>
      <c r="B15" s="1">
        <v>1899</v>
      </c>
      <c r="C15" s="1" t="s">
        <v>22</v>
      </c>
      <c r="D15" s="1">
        <v>11</v>
      </c>
      <c r="E15" s="5">
        <v>29.02</v>
      </c>
      <c r="F15" s="6">
        <v>28.62</v>
      </c>
      <c r="G15" s="1">
        <v>47.3</v>
      </c>
      <c r="H15" s="1">
        <v>49.5</v>
      </c>
      <c r="I15" s="1">
        <v>45.5</v>
      </c>
      <c r="J15" s="6">
        <v>53.4</v>
      </c>
      <c r="K15" s="1">
        <v>2.2999999999999998</v>
      </c>
      <c r="L15" s="6">
        <v>3</v>
      </c>
      <c r="M15" s="5">
        <v>0.27100000000000002</v>
      </c>
      <c r="N15" s="6">
        <v>0.28100000000000003</v>
      </c>
      <c r="O15" s="1">
        <v>84</v>
      </c>
      <c r="P15" s="6">
        <v>80</v>
      </c>
      <c r="Q15" s="1" t="s">
        <v>38</v>
      </c>
      <c r="R15" s="1">
        <v>5</v>
      </c>
      <c r="S15" s="1" t="s">
        <v>32</v>
      </c>
      <c r="T15" s="6">
        <v>4</v>
      </c>
      <c r="U15" s="1">
        <v>9</v>
      </c>
      <c r="V15" s="1">
        <v>10</v>
      </c>
      <c r="W15" s="9">
        <v>0.04</v>
      </c>
    </row>
    <row r="16" spans="1:23" s="1" customFormat="1" x14ac:dyDescent="0.2">
      <c r="A16" s="5" t="s">
        <v>61</v>
      </c>
      <c r="B16" s="1">
        <v>1899</v>
      </c>
      <c r="C16" s="1" t="s">
        <v>22</v>
      </c>
      <c r="D16" s="1">
        <v>12</v>
      </c>
      <c r="E16" s="5">
        <v>28.63</v>
      </c>
      <c r="F16" s="6">
        <v>28.92</v>
      </c>
      <c r="G16" s="1">
        <v>42</v>
      </c>
      <c r="H16" s="1">
        <v>41.3</v>
      </c>
      <c r="I16" s="1">
        <v>41.3</v>
      </c>
      <c r="J16" s="6">
        <v>49.5</v>
      </c>
      <c r="K16" s="1">
        <v>2.2999999999999998</v>
      </c>
      <c r="L16" s="6">
        <v>0.9</v>
      </c>
      <c r="M16" s="5">
        <v>0.22</v>
      </c>
      <c r="N16" s="6">
        <v>0.24099999999999999</v>
      </c>
      <c r="O16" s="1">
        <v>83</v>
      </c>
      <c r="P16" s="6">
        <v>93</v>
      </c>
      <c r="Q16" s="1" t="s">
        <v>65</v>
      </c>
      <c r="R16" s="1">
        <v>3</v>
      </c>
      <c r="S16" s="1" t="s">
        <v>41</v>
      </c>
      <c r="T16" s="6">
        <v>2</v>
      </c>
      <c r="U16" s="1">
        <v>9</v>
      </c>
      <c r="V16" s="1">
        <v>4</v>
      </c>
      <c r="W16" s="9">
        <v>0.127</v>
      </c>
    </row>
    <row r="17" spans="1:23" s="1" customFormat="1" x14ac:dyDescent="0.2">
      <c r="A17" s="5" t="s">
        <v>61</v>
      </c>
      <c r="B17" s="1">
        <v>1899</v>
      </c>
      <c r="C17" s="1" t="s">
        <v>22</v>
      </c>
      <c r="D17" s="1">
        <v>13</v>
      </c>
      <c r="E17" s="5">
        <v>28.65</v>
      </c>
      <c r="F17" s="6">
        <v>28.59</v>
      </c>
      <c r="G17" s="1">
        <v>48</v>
      </c>
      <c r="H17" s="1">
        <v>41.3</v>
      </c>
      <c r="I17" s="1">
        <v>37.299999999999997</v>
      </c>
      <c r="J17" s="6">
        <v>50.3</v>
      </c>
      <c r="K17" s="1">
        <v>1</v>
      </c>
      <c r="L17" s="6">
        <v>1.3</v>
      </c>
      <c r="M17" s="5">
        <v>0.309</v>
      </c>
      <c r="N17" s="6">
        <v>0.23200000000000001</v>
      </c>
      <c r="O17" s="1">
        <v>93</v>
      </c>
      <c r="P17" s="6">
        <v>90</v>
      </c>
      <c r="Q17" s="1" t="s">
        <v>65</v>
      </c>
      <c r="R17" s="1">
        <v>5</v>
      </c>
      <c r="S17" s="1" t="s">
        <v>39</v>
      </c>
      <c r="T17" s="6">
        <v>3</v>
      </c>
      <c r="U17" s="1">
        <v>10</v>
      </c>
      <c r="V17" s="1">
        <v>10</v>
      </c>
      <c r="W17" s="9">
        <v>0.39800000000000002</v>
      </c>
    </row>
    <row r="18" spans="1:23" s="1" customFormat="1" x14ac:dyDescent="0.2">
      <c r="A18" s="5" t="s">
        <v>61</v>
      </c>
      <c r="B18" s="1">
        <v>1899</v>
      </c>
      <c r="C18" s="1" t="s">
        <v>22</v>
      </c>
      <c r="D18" s="1">
        <v>14</v>
      </c>
      <c r="E18" s="5">
        <v>28.92</v>
      </c>
      <c r="F18" s="6">
        <v>29.18</v>
      </c>
      <c r="G18" s="1">
        <v>44</v>
      </c>
      <c r="H18" s="1">
        <v>41</v>
      </c>
      <c r="I18" s="1">
        <v>37.6</v>
      </c>
      <c r="J18" s="6">
        <v>48.3</v>
      </c>
      <c r="K18" s="1">
        <v>3</v>
      </c>
      <c r="L18" s="6">
        <v>2.6</v>
      </c>
      <c r="M18" s="5">
        <v>0.224</v>
      </c>
      <c r="N18" s="6">
        <v>0.20399999999999999</v>
      </c>
      <c r="O18" s="1">
        <v>77</v>
      </c>
      <c r="P18" s="6">
        <v>80</v>
      </c>
      <c r="Q18" s="1" t="s">
        <v>35</v>
      </c>
      <c r="R18" s="1">
        <v>4</v>
      </c>
      <c r="S18" s="1" t="s">
        <v>66</v>
      </c>
      <c r="T18" s="6">
        <v>1</v>
      </c>
      <c r="U18" s="1">
        <v>9</v>
      </c>
      <c r="V18" s="1">
        <v>0</v>
      </c>
      <c r="W18" s="9" t="s">
        <v>25</v>
      </c>
    </row>
    <row r="19" spans="1:23" s="1" customFormat="1" x14ac:dyDescent="0.2">
      <c r="A19" s="5" t="s">
        <v>61</v>
      </c>
      <c r="B19" s="1">
        <v>1899</v>
      </c>
      <c r="C19" s="1" t="s">
        <v>22</v>
      </c>
      <c r="D19" s="1">
        <v>15</v>
      </c>
      <c r="E19" s="5">
        <v>29.33</v>
      </c>
      <c r="F19" s="6">
        <v>29.38</v>
      </c>
      <c r="G19" s="1">
        <v>41.2</v>
      </c>
      <c r="H19" s="1">
        <v>39.4</v>
      </c>
      <c r="I19" s="1">
        <v>39.299999999999997</v>
      </c>
      <c r="J19" s="6">
        <v>46.8</v>
      </c>
      <c r="K19" s="1">
        <v>1.6</v>
      </c>
      <c r="L19" s="6">
        <v>1.4</v>
      </c>
      <c r="M19" s="5">
        <v>0.22500000000000001</v>
      </c>
      <c r="N19" s="6">
        <v>0.214</v>
      </c>
      <c r="O19" s="1">
        <v>88</v>
      </c>
      <c r="P19" s="6">
        <v>89</v>
      </c>
      <c r="Q19" s="1" t="s">
        <v>35</v>
      </c>
      <c r="R19" s="1">
        <v>1</v>
      </c>
      <c r="S19" s="1" t="s">
        <v>37</v>
      </c>
      <c r="T19" s="6">
        <v>1</v>
      </c>
      <c r="U19" s="1">
        <v>8</v>
      </c>
      <c r="V19" s="1">
        <v>0</v>
      </c>
      <c r="W19" s="9" t="s">
        <v>25</v>
      </c>
    </row>
    <row r="20" spans="1:23" s="1" customFormat="1" x14ac:dyDescent="0.2">
      <c r="A20" s="5" t="s">
        <v>61</v>
      </c>
      <c r="B20" s="1">
        <v>1899</v>
      </c>
      <c r="C20" s="1" t="s">
        <v>22</v>
      </c>
      <c r="D20" s="1">
        <v>16</v>
      </c>
      <c r="E20" s="5">
        <v>29.45</v>
      </c>
      <c r="F20" s="6">
        <v>29.52</v>
      </c>
      <c r="G20" s="1">
        <v>34.4</v>
      </c>
      <c r="H20" s="1">
        <v>43.8</v>
      </c>
      <c r="I20" s="1">
        <v>32.6</v>
      </c>
      <c r="J20" s="6">
        <v>46.6</v>
      </c>
      <c r="K20" s="1">
        <v>0.4</v>
      </c>
      <c r="L20" s="6">
        <v>2</v>
      </c>
      <c r="M20" s="5">
        <v>0.191</v>
      </c>
      <c r="N20" s="6">
        <v>0.24299999999999999</v>
      </c>
      <c r="O20" s="1">
        <v>96</v>
      </c>
      <c r="P20" s="6">
        <v>84</v>
      </c>
      <c r="Q20" s="1" t="s">
        <v>36</v>
      </c>
      <c r="R20" s="1">
        <v>0</v>
      </c>
      <c r="S20" s="1" t="s">
        <v>66</v>
      </c>
      <c r="T20" s="6">
        <v>1</v>
      </c>
      <c r="U20" s="1">
        <v>9</v>
      </c>
      <c r="V20" s="1">
        <v>10</v>
      </c>
      <c r="W20" s="9">
        <v>0.01</v>
      </c>
    </row>
    <row r="21" spans="1:23" s="1" customFormat="1" x14ac:dyDescent="0.2">
      <c r="A21" s="5" t="s">
        <v>61</v>
      </c>
      <c r="B21" s="1">
        <v>1899</v>
      </c>
      <c r="C21" s="1" t="s">
        <v>22</v>
      </c>
      <c r="D21" s="1">
        <v>17</v>
      </c>
      <c r="E21" s="5">
        <v>29.57</v>
      </c>
      <c r="F21" s="6">
        <v>29.61</v>
      </c>
      <c r="G21" s="1">
        <v>41.4</v>
      </c>
      <c r="H21" s="1">
        <v>45.4</v>
      </c>
      <c r="I21" s="1">
        <v>38.6</v>
      </c>
      <c r="J21" s="6">
        <v>51</v>
      </c>
      <c r="K21" s="1">
        <v>1.4</v>
      </c>
      <c r="L21" s="6">
        <v>1.9</v>
      </c>
      <c r="M21" s="5">
        <v>0.23100000000000001</v>
      </c>
      <c r="N21" s="6">
        <v>0.26</v>
      </c>
      <c r="O21" s="1">
        <v>89</v>
      </c>
      <c r="P21" s="6">
        <v>87</v>
      </c>
      <c r="Q21" s="1" t="s">
        <v>64</v>
      </c>
      <c r="R21" s="1">
        <v>1</v>
      </c>
      <c r="S21" s="1" t="s">
        <v>62</v>
      </c>
      <c r="T21" s="6">
        <v>1</v>
      </c>
      <c r="U21" s="1">
        <v>8</v>
      </c>
      <c r="V21" s="1">
        <v>10</v>
      </c>
      <c r="W21" s="9">
        <v>0.03</v>
      </c>
    </row>
    <row r="22" spans="1:23" s="1" customFormat="1" x14ac:dyDescent="0.2">
      <c r="A22" s="5" t="s">
        <v>61</v>
      </c>
      <c r="B22" s="1">
        <v>1899</v>
      </c>
      <c r="C22" s="1" t="s">
        <v>22</v>
      </c>
      <c r="D22" s="1">
        <v>18</v>
      </c>
      <c r="E22" s="5">
        <v>29.62</v>
      </c>
      <c r="F22" s="6">
        <v>29.66</v>
      </c>
      <c r="G22" s="1">
        <v>42.4</v>
      </c>
      <c r="H22" s="1">
        <v>46.7</v>
      </c>
      <c r="I22" s="1">
        <v>42.3</v>
      </c>
      <c r="J22" s="6">
        <v>50</v>
      </c>
      <c r="K22" s="1">
        <v>1.2</v>
      </c>
      <c r="L22" s="6">
        <v>0.5</v>
      </c>
      <c r="M22" s="5">
        <v>0.245</v>
      </c>
      <c r="N22" s="6">
        <v>0.307</v>
      </c>
      <c r="O22" s="1">
        <v>91</v>
      </c>
      <c r="P22" s="6">
        <v>96</v>
      </c>
      <c r="Q22" s="1" t="s">
        <v>67</v>
      </c>
      <c r="R22" s="1">
        <v>1</v>
      </c>
      <c r="S22" s="1" t="s">
        <v>44</v>
      </c>
      <c r="T22" s="6">
        <v>1</v>
      </c>
      <c r="U22" s="1">
        <v>10</v>
      </c>
      <c r="V22" s="1">
        <v>10</v>
      </c>
      <c r="W22" s="9">
        <v>2.3E-2</v>
      </c>
    </row>
    <row r="23" spans="1:23" s="1" customFormat="1" x14ac:dyDescent="0.2">
      <c r="A23" s="5" t="s">
        <v>61</v>
      </c>
      <c r="B23" s="1">
        <v>1899</v>
      </c>
      <c r="C23" s="1" t="s">
        <v>22</v>
      </c>
      <c r="D23" s="1">
        <v>19</v>
      </c>
      <c r="E23" s="5">
        <v>29.77</v>
      </c>
      <c r="F23" s="6">
        <v>29.88</v>
      </c>
      <c r="G23" s="1">
        <v>43.4</v>
      </c>
      <c r="H23" s="1">
        <v>42.3</v>
      </c>
      <c r="I23" s="1">
        <v>41.9</v>
      </c>
      <c r="J23" s="6">
        <v>46.8</v>
      </c>
      <c r="K23" s="1">
        <v>0.4</v>
      </c>
      <c r="L23" s="6">
        <v>1.3</v>
      </c>
      <c r="M23" s="5">
        <v>0.27200000000000002</v>
      </c>
      <c r="N23" s="6">
        <v>0.24199999999999999</v>
      </c>
      <c r="O23" s="1">
        <v>97</v>
      </c>
      <c r="P23" s="6">
        <v>90</v>
      </c>
      <c r="Q23" s="1" t="s">
        <v>37</v>
      </c>
      <c r="R23" s="1">
        <v>1</v>
      </c>
      <c r="S23" s="1" t="s">
        <v>47</v>
      </c>
      <c r="T23" s="6">
        <v>1</v>
      </c>
      <c r="U23" s="1">
        <v>10</v>
      </c>
      <c r="V23" s="1">
        <v>10</v>
      </c>
      <c r="W23" s="9" t="s">
        <v>25</v>
      </c>
    </row>
    <row r="24" spans="1:23" s="1" customFormat="1" x14ac:dyDescent="0.2">
      <c r="A24" s="5" t="s">
        <v>61</v>
      </c>
      <c r="B24" s="1">
        <v>1899</v>
      </c>
      <c r="C24" s="1" t="s">
        <v>22</v>
      </c>
      <c r="D24" s="1">
        <v>20</v>
      </c>
      <c r="E24" s="5">
        <v>29.9</v>
      </c>
      <c r="F24" s="6">
        <v>29.87</v>
      </c>
      <c r="G24" s="1">
        <v>41</v>
      </c>
      <c r="H24" s="1">
        <v>40</v>
      </c>
      <c r="I24" s="1">
        <v>39.299999999999997</v>
      </c>
      <c r="J24" s="6">
        <v>43.3</v>
      </c>
      <c r="K24" s="1">
        <v>2</v>
      </c>
      <c r="L24" s="6">
        <v>2.5</v>
      </c>
      <c r="M24" s="5">
        <v>0.215</v>
      </c>
      <c r="N24" s="6">
        <v>0.19800000000000001</v>
      </c>
      <c r="O24" s="1">
        <v>84</v>
      </c>
      <c r="P24" s="6">
        <v>80</v>
      </c>
      <c r="Q24" s="1" t="s">
        <v>23</v>
      </c>
      <c r="R24" s="1">
        <v>2</v>
      </c>
      <c r="S24" s="1" t="s">
        <v>23</v>
      </c>
      <c r="T24" s="6">
        <v>2</v>
      </c>
      <c r="U24" s="1">
        <v>10</v>
      </c>
      <c r="V24" s="1">
        <v>10</v>
      </c>
      <c r="W24" s="9" t="s">
        <v>25</v>
      </c>
    </row>
    <row r="25" spans="1:23" s="1" customFormat="1" x14ac:dyDescent="0.2">
      <c r="A25" s="5" t="s">
        <v>61</v>
      </c>
      <c r="B25" s="1">
        <v>1899</v>
      </c>
      <c r="C25" s="1" t="s">
        <v>22</v>
      </c>
      <c r="D25" s="1">
        <v>21</v>
      </c>
      <c r="E25" s="5">
        <v>29.98</v>
      </c>
      <c r="F25" s="6">
        <v>29.98</v>
      </c>
      <c r="G25" s="1">
        <v>40</v>
      </c>
      <c r="H25" s="1">
        <v>36.5</v>
      </c>
      <c r="I25" s="1">
        <v>36.299999999999997</v>
      </c>
      <c r="J25" s="6">
        <v>46</v>
      </c>
      <c r="K25" s="1">
        <v>2.4</v>
      </c>
      <c r="L25" s="6">
        <v>2.7</v>
      </c>
      <c r="M25" s="5">
        <v>0.2</v>
      </c>
      <c r="N25" s="6">
        <v>0.16700000000000001</v>
      </c>
      <c r="O25" s="1">
        <v>81</v>
      </c>
      <c r="P25" s="6">
        <v>77</v>
      </c>
      <c r="Q25" s="1" t="s">
        <v>43</v>
      </c>
      <c r="R25" s="1">
        <v>3</v>
      </c>
      <c r="S25" s="1" t="s">
        <v>68</v>
      </c>
      <c r="T25" s="6">
        <v>3</v>
      </c>
      <c r="U25" s="1">
        <v>9</v>
      </c>
      <c r="V25" s="1">
        <v>2</v>
      </c>
      <c r="W25" s="9" t="s">
        <v>25</v>
      </c>
    </row>
    <row r="26" spans="1:23" s="1" customFormat="1" x14ac:dyDescent="0.2">
      <c r="A26" s="5" t="s">
        <v>61</v>
      </c>
      <c r="B26" s="1">
        <v>1899</v>
      </c>
      <c r="C26" s="1" t="s">
        <v>22</v>
      </c>
      <c r="D26" s="1">
        <v>22</v>
      </c>
      <c r="E26" s="5">
        <v>29.97</v>
      </c>
      <c r="F26" s="6">
        <v>29.93</v>
      </c>
      <c r="G26" s="1">
        <v>37</v>
      </c>
      <c r="H26" s="1">
        <v>40.299999999999997</v>
      </c>
      <c r="I26" s="1">
        <v>32.6</v>
      </c>
      <c r="J26" s="6">
        <v>49.7</v>
      </c>
      <c r="K26" s="1">
        <v>3.5</v>
      </c>
      <c r="L26" s="6">
        <v>5</v>
      </c>
      <c r="M26" s="5">
        <v>0.157</v>
      </c>
      <c r="N26" s="6">
        <v>0.159</v>
      </c>
      <c r="O26" s="1">
        <v>72</v>
      </c>
      <c r="P26" s="6">
        <v>63</v>
      </c>
      <c r="Q26" s="1" t="s">
        <v>68</v>
      </c>
      <c r="R26" s="1">
        <v>1</v>
      </c>
      <c r="S26" s="1" t="s">
        <v>68</v>
      </c>
      <c r="T26" s="6">
        <v>1</v>
      </c>
      <c r="U26" s="1">
        <v>0</v>
      </c>
      <c r="V26" s="1">
        <v>0</v>
      </c>
      <c r="W26" s="9" t="s">
        <v>25</v>
      </c>
    </row>
    <row r="27" spans="1:23" s="1" customFormat="1" x14ac:dyDescent="0.2">
      <c r="A27" s="5" t="s">
        <v>61</v>
      </c>
      <c r="B27" s="1">
        <v>1899</v>
      </c>
      <c r="C27" s="1" t="s">
        <v>22</v>
      </c>
      <c r="D27" s="1">
        <v>23</v>
      </c>
      <c r="E27" s="5">
        <v>29.87</v>
      </c>
      <c r="F27" s="6">
        <v>29.87</v>
      </c>
      <c r="G27" s="1">
        <v>33</v>
      </c>
      <c r="H27" s="1">
        <v>37.799999999999997</v>
      </c>
      <c r="I27" s="1">
        <v>30.7</v>
      </c>
      <c r="J27" s="6">
        <v>49</v>
      </c>
      <c r="K27" s="1">
        <v>4</v>
      </c>
      <c r="L27" s="6">
        <v>3.4</v>
      </c>
      <c r="M27" s="5">
        <v>0.113</v>
      </c>
      <c r="N27" s="6">
        <v>0.16600000000000001</v>
      </c>
      <c r="O27" s="1">
        <v>60</v>
      </c>
      <c r="P27" s="6">
        <v>72</v>
      </c>
      <c r="Q27" s="1" t="s">
        <v>23</v>
      </c>
      <c r="R27" s="1">
        <v>1</v>
      </c>
      <c r="S27" s="1" t="s">
        <v>65</v>
      </c>
      <c r="T27" s="6">
        <v>1</v>
      </c>
      <c r="U27" s="1">
        <v>8</v>
      </c>
      <c r="V27" s="1">
        <v>9</v>
      </c>
      <c r="W27" s="9" t="s">
        <v>25</v>
      </c>
    </row>
    <row r="28" spans="1:23" s="1" customFormat="1" x14ac:dyDescent="0.2">
      <c r="A28" s="5" t="s">
        <v>61</v>
      </c>
      <c r="B28" s="1">
        <v>1899</v>
      </c>
      <c r="C28" s="1" t="s">
        <v>22</v>
      </c>
      <c r="D28" s="1">
        <v>24</v>
      </c>
      <c r="E28" s="5">
        <v>29.9</v>
      </c>
      <c r="F28" s="6">
        <v>29.91</v>
      </c>
      <c r="G28" s="1">
        <v>37</v>
      </c>
      <c r="H28" s="1">
        <v>38</v>
      </c>
      <c r="I28" s="1">
        <v>32.6</v>
      </c>
      <c r="J28" s="6">
        <v>46.3</v>
      </c>
      <c r="K28" s="1">
        <v>3.6</v>
      </c>
      <c r="L28" s="6">
        <v>2.2999999999999998</v>
      </c>
      <c r="M28" s="5">
        <v>0.155</v>
      </c>
      <c r="N28" s="6">
        <v>0.185</v>
      </c>
      <c r="O28" s="1">
        <v>71</v>
      </c>
      <c r="P28" s="6">
        <v>81</v>
      </c>
      <c r="Q28" s="1" t="s">
        <v>23</v>
      </c>
      <c r="R28" s="1">
        <v>1</v>
      </c>
      <c r="S28" s="1" t="s">
        <v>24</v>
      </c>
      <c r="T28" s="6">
        <v>1</v>
      </c>
      <c r="U28" s="1">
        <v>4</v>
      </c>
      <c r="V28" s="1">
        <v>0</v>
      </c>
      <c r="W28" s="9" t="s">
        <v>25</v>
      </c>
    </row>
    <row r="29" spans="1:23" s="1" customFormat="1" x14ac:dyDescent="0.2">
      <c r="A29" s="5" t="s">
        <v>61</v>
      </c>
      <c r="B29" s="1">
        <v>1899</v>
      </c>
      <c r="C29" s="1" t="s">
        <v>22</v>
      </c>
      <c r="D29" s="1">
        <v>25</v>
      </c>
      <c r="E29" s="5">
        <v>29.98</v>
      </c>
      <c r="F29" s="6">
        <v>29.99</v>
      </c>
      <c r="G29" s="1">
        <v>33.299999999999997</v>
      </c>
      <c r="H29" s="1">
        <v>31.9</v>
      </c>
      <c r="I29" s="1">
        <v>30.3</v>
      </c>
      <c r="J29" s="6">
        <v>40</v>
      </c>
      <c r="K29" s="1">
        <v>1.3</v>
      </c>
      <c r="L29" s="6">
        <v>1.6</v>
      </c>
      <c r="M29" s="5">
        <v>0.16400000000000001</v>
      </c>
      <c r="N29" s="6">
        <v>0.14399999999999999</v>
      </c>
      <c r="O29" s="1">
        <v>86</v>
      </c>
      <c r="P29" s="6">
        <v>79</v>
      </c>
      <c r="Q29" s="1" t="s">
        <v>30</v>
      </c>
      <c r="R29" s="1">
        <v>1</v>
      </c>
      <c r="S29" s="1" t="s">
        <v>30</v>
      </c>
      <c r="T29" s="6">
        <v>1</v>
      </c>
      <c r="U29" s="1">
        <v>8</v>
      </c>
      <c r="V29" s="1">
        <v>0</v>
      </c>
      <c r="W29" s="9" t="s">
        <v>25</v>
      </c>
    </row>
    <row r="30" spans="1:23" s="1" customFormat="1" x14ac:dyDescent="0.2">
      <c r="A30" s="5" t="s">
        <v>61</v>
      </c>
      <c r="B30" s="1">
        <v>1899</v>
      </c>
      <c r="C30" s="1" t="s">
        <v>22</v>
      </c>
      <c r="D30" s="1">
        <v>26</v>
      </c>
      <c r="E30" s="5">
        <v>30</v>
      </c>
      <c r="F30" s="6">
        <v>30.01</v>
      </c>
      <c r="G30" s="1">
        <v>30</v>
      </c>
      <c r="H30" s="1">
        <v>32.6</v>
      </c>
      <c r="I30" s="1">
        <v>25.9</v>
      </c>
      <c r="J30" s="6">
        <v>41</v>
      </c>
      <c r="K30" s="1">
        <v>1</v>
      </c>
      <c r="L30" s="6">
        <v>1.4</v>
      </c>
      <c r="M30" s="5">
        <v>0.14000000000000001</v>
      </c>
      <c r="N30" s="6">
        <v>0.155</v>
      </c>
      <c r="O30" s="1">
        <v>83</v>
      </c>
      <c r="P30" s="6">
        <v>84</v>
      </c>
      <c r="Q30" s="1" t="s">
        <v>36</v>
      </c>
      <c r="R30" s="1">
        <v>0</v>
      </c>
      <c r="S30" s="1" t="s">
        <v>32</v>
      </c>
      <c r="T30" s="6">
        <v>1</v>
      </c>
      <c r="U30" s="1">
        <v>0</v>
      </c>
      <c r="V30" s="1">
        <v>0</v>
      </c>
      <c r="W30" s="9" t="s">
        <v>25</v>
      </c>
    </row>
    <row r="31" spans="1:23" s="1" customFormat="1" x14ac:dyDescent="0.2">
      <c r="A31" s="5" t="s">
        <v>61</v>
      </c>
      <c r="B31" s="1">
        <v>1899</v>
      </c>
      <c r="C31" s="1" t="s">
        <v>22</v>
      </c>
      <c r="D31" s="1">
        <v>27</v>
      </c>
      <c r="E31" s="5">
        <v>30.1</v>
      </c>
      <c r="F31" s="6">
        <v>30.18</v>
      </c>
      <c r="G31" s="1">
        <v>26</v>
      </c>
      <c r="H31" s="1">
        <v>31.8</v>
      </c>
      <c r="I31" s="1">
        <v>24.1</v>
      </c>
      <c r="J31" s="6">
        <v>40.9</v>
      </c>
      <c r="K31" s="1">
        <v>1</v>
      </c>
      <c r="L31" s="6">
        <v>1.8</v>
      </c>
      <c r="M31" s="5">
        <v>0.107</v>
      </c>
      <c r="N31" s="6">
        <v>0.13900000000000001</v>
      </c>
      <c r="O31" s="1">
        <v>76</v>
      </c>
      <c r="P31" s="6">
        <v>78</v>
      </c>
      <c r="Q31" s="1" t="s">
        <v>36</v>
      </c>
      <c r="R31" s="1">
        <v>0</v>
      </c>
      <c r="S31" s="1" t="s">
        <v>36</v>
      </c>
      <c r="T31" s="6">
        <v>0</v>
      </c>
      <c r="U31" s="1">
        <v>0</v>
      </c>
      <c r="V31" s="1">
        <v>0</v>
      </c>
      <c r="W31" s="9" t="s">
        <v>25</v>
      </c>
    </row>
    <row r="32" spans="1:23" s="1" customFormat="1" x14ac:dyDescent="0.2">
      <c r="A32" s="5" t="s">
        <v>61</v>
      </c>
      <c r="B32" s="1">
        <v>1899</v>
      </c>
      <c r="C32" s="1" t="s">
        <v>22</v>
      </c>
      <c r="D32" s="1">
        <v>28</v>
      </c>
      <c r="E32" s="5">
        <v>30.24</v>
      </c>
      <c r="F32" s="6">
        <v>30.22</v>
      </c>
      <c r="G32" s="1">
        <v>32.5</v>
      </c>
      <c r="H32" s="1">
        <v>37</v>
      </c>
      <c r="I32" s="1">
        <v>27.6</v>
      </c>
      <c r="J32" s="6">
        <v>45.4</v>
      </c>
      <c r="K32" s="1">
        <v>1.3</v>
      </c>
      <c r="L32" s="6">
        <v>1</v>
      </c>
      <c r="M32" s="5">
        <v>0.156</v>
      </c>
      <c r="N32" s="6">
        <v>0.2</v>
      </c>
      <c r="O32" s="1">
        <v>84</v>
      </c>
      <c r="P32" s="6">
        <v>91</v>
      </c>
      <c r="Q32" s="1" t="s">
        <v>36</v>
      </c>
      <c r="R32" s="1">
        <v>0</v>
      </c>
      <c r="S32" s="1" t="s">
        <v>36</v>
      </c>
      <c r="T32" s="6">
        <v>0</v>
      </c>
      <c r="U32" s="1">
        <v>10</v>
      </c>
      <c r="V32" s="1">
        <v>10</v>
      </c>
      <c r="W32" s="9" t="s">
        <v>25</v>
      </c>
    </row>
    <row r="33" spans="1:23" s="1" customFormat="1" x14ac:dyDescent="0.2">
      <c r="A33" s="10"/>
      <c r="B33" s="11"/>
      <c r="C33" s="11"/>
      <c r="D33" s="12" t="s">
        <v>45</v>
      </c>
      <c r="E33" s="11">
        <v>29.446000000000002</v>
      </c>
      <c r="F33" s="12">
        <v>29.456</v>
      </c>
      <c r="G33" s="10">
        <v>38</v>
      </c>
      <c r="H33" s="11">
        <v>39.4</v>
      </c>
      <c r="I33" s="11">
        <v>34.700000000000003</v>
      </c>
      <c r="J33" s="12">
        <v>45.5</v>
      </c>
      <c r="K33" s="10">
        <v>1.7</v>
      </c>
      <c r="L33" s="12">
        <v>2</v>
      </c>
      <c r="M33" s="11">
        <v>0.19800000000000001</v>
      </c>
      <c r="N33" s="11">
        <v>0.20599999999999999</v>
      </c>
      <c r="O33" s="10">
        <v>83.6</v>
      </c>
      <c r="P33" s="12">
        <v>83</v>
      </c>
      <c r="Q33" s="10" t="s">
        <v>25</v>
      </c>
      <c r="R33" s="11">
        <v>1.6</v>
      </c>
      <c r="S33" s="11" t="s">
        <v>25</v>
      </c>
      <c r="T33" s="12">
        <v>1.6</v>
      </c>
      <c r="U33" s="10">
        <v>7.5</v>
      </c>
      <c r="V33" s="12">
        <v>5.5</v>
      </c>
      <c r="W33" s="13">
        <v>2.153</v>
      </c>
    </row>
    <row r="34" spans="1:23" x14ac:dyDescent="0.2">
      <c r="E34">
        <f>SUM(E5:E32)/28</f>
        <v>29.446785714285713</v>
      </c>
    </row>
  </sheetData>
  <mergeCells count="8">
    <mergeCell ref="K3:L3"/>
    <mergeCell ref="M3:N3"/>
    <mergeCell ref="O3:P3"/>
    <mergeCell ref="E2:F2"/>
    <mergeCell ref="G2:J2"/>
    <mergeCell ref="K2:P2"/>
    <mergeCell ref="Q2:T2"/>
    <mergeCell ref="U2:V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D65C3-F0FC-43D4-8EDF-7503FE5358F7}">
  <dimension ref="A2:W34"/>
  <sheetViews>
    <sheetView topLeftCell="K1" workbookViewId="0">
      <selection activeCell="W34" sqref="W34"/>
    </sheetView>
  </sheetViews>
  <sheetFormatPr baseColWidth="10" defaultColWidth="8.83203125" defaultRowHeight="15" x14ac:dyDescent="0.2"/>
  <cols>
    <col min="1" max="1" width="14" customWidth="1"/>
  </cols>
  <sheetData>
    <row r="2" spans="1:23" s="2" customFormat="1" ht="32" x14ac:dyDescent="0.2">
      <c r="A2" s="14"/>
      <c r="B2" s="15"/>
      <c r="C2" s="15"/>
      <c r="D2" s="15"/>
      <c r="E2" s="31" t="s">
        <v>0</v>
      </c>
      <c r="F2" s="32"/>
      <c r="G2" s="33" t="s">
        <v>1</v>
      </c>
      <c r="H2" s="33"/>
      <c r="I2" s="33"/>
      <c r="J2" s="34"/>
      <c r="K2" s="29" t="s">
        <v>2</v>
      </c>
      <c r="L2" s="33"/>
      <c r="M2" s="33"/>
      <c r="N2" s="33"/>
      <c r="O2" s="33"/>
      <c r="P2" s="34"/>
      <c r="Q2" s="33" t="s">
        <v>3</v>
      </c>
      <c r="R2" s="33"/>
      <c r="S2" s="33"/>
      <c r="T2" s="34"/>
      <c r="U2" s="29" t="s">
        <v>4</v>
      </c>
      <c r="V2" s="30"/>
      <c r="W2" s="7" t="s">
        <v>5</v>
      </c>
    </row>
    <row r="3" spans="1:23" s="2" customFormat="1" x14ac:dyDescent="0.2">
      <c r="A3" s="3"/>
      <c r="E3" s="16"/>
      <c r="F3" s="17"/>
      <c r="J3" s="4"/>
      <c r="K3" s="35" t="s">
        <v>6</v>
      </c>
      <c r="L3" s="36"/>
      <c r="M3" s="35" t="s">
        <v>7</v>
      </c>
      <c r="N3" s="36"/>
      <c r="O3" s="37" t="s">
        <v>8</v>
      </c>
      <c r="P3" s="38"/>
      <c r="T3" s="4"/>
      <c r="V3" s="1"/>
      <c r="W3" s="18"/>
    </row>
    <row r="4" spans="1:23" s="2" customFormat="1" x14ac:dyDescent="0.2">
      <c r="A4" s="3" t="s">
        <v>9</v>
      </c>
      <c r="B4" s="2" t="s">
        <v>10</v>
      </c>
      <c r="C4" s="2" t="s">
        <v>11</v>
      </c>
      <c r="D4" s="2" t="s">
        <v>12</v>
      </c>
      <c r="E4" s="3" t="s">
        <v>13</v>
      </c>
      <c r="F4" s="4" t="s">
        <v>14</v>
      </c>
      <c r="G4" s="2" t="s">
        <v>13</v>
      </c>
      <c r="H4" s="2" t="s">
        <v>14</v>
      </c>
      <c r="I4" s="2" t="s">
        <v>15</v>
      </c>
      <c r="J4" s="4" t="s">
        <v>16</v>
      </c>
      <c r="K4" s="2" t="s">
        <v>13</v>
      </c>
      <c r="L4" s="4" t="s">
        <v>14</v>
      </c>
      <c r="M4" s="3" t="s">
        <v>13</v>
      </c>
      <c r="N4" s="4" t="s">
        <v>14</v>
      </c>
      <c r="O4" s="2" t="s">
        <v>13</v>
      </c>
      <c r="P4" s="4" t="s">
        <v>14</v>
      </c>
      <c r="Q4" s="2" t="s">
        <v>17</v>
      </c>
      <c r="R4" s="2" t="s">
        <v>18</v>
      </c>
      <c r="S4" s="2" t="s">
        <v>19</v>
      </c>
      <c r="T4" s="4" t="s">
        <v>20</v>
      </c>
      <c r="U4" s="2" t="s">
        <v>13</v>
      </c>
      <c r="V4" s="2" t="s">
        <v>14</v>
      </c>
      <c r="W4" s="8" t="s">
        <v>13</v>
      </c>
    </row>
    <row r="5" spans="1:23" s="1" customFormat="1" x14ac:dyDescent="0.2">
      <c r="A5" s="5" t="s">
        <v>69</v>
      </c>
      <c r="B5" s="1">
        <v>1899</v>
      </c>
      <c r="C5" s="1" t="s">
        <v>22</v>
      </c>
      <c r="D5" s="1">
        <v>1</v>
      </c>
      <c r="E5" s="5">
        <v>29.34</v>
      </c>
      <c r="F5" s="6">
        <v>29.32</v>
      </c>
      <c r="G5" s="1">
        <v>34.799999999999997</v>
      </c>
      <c r="H5" s="1">
        <v>33.799999999999997</v>
      </c>
      <c r="I5" s="1">
        <v>32.5</v>
      </c>
      <c r="J5" s="6">
        <v>41.3</v>
      </c>
      <c r="K5" s="1">
        <v>1.1000000000000001</v>
      </c>
      <c r="L5" s="6">
        <v>0.3</v>
      </c>
      <c r="M5" s="5">
        <v>0.18</v>
      </c>
      <c r="N5" s="6">
        <v>0.188</v>
      </c>
      <c r="O5" s="1">
        <v>88</v>
      </c>
      <c r="P5" s="6">
        <v>96</v>
      </c>
      <c r="Q5" s="1" t="s">
        <v>29</v>
      </c>
      <c r="R5" s="1">
        <v>1</v>
      </c>
      <c r="S5" s="1" t="s">
        <v>29</v>
      </c>
      <c r="T5" s="6">
        <v>1</v>
      </c>
      <c r="U5" s="1">
        <v>10</v>
      </c>
      <c r="V5" s="1">
        <v>3</v>
      </c>
      <c r="W5" s="9">
        <v>0.08</v>
      </c>
    </row>
    <row r="6" spans="1:23" s="1" customFormat="1" x14ac:dyDescent="0.2">
      <c r="A6" s="5" t="s">
        <v>69</v>
      </c>
      <c r="B6" s="1">
        <v>1899</v>
      </c>
      <c r="C6" s="1" t="s">
        <v>22</v>
      </c>
      <c r="D6" s="1">
        <v>2</v>
      </c>
      <c r="E6" s="5">
        <v>29.38</v>
      </c>
      <c r="F6" s="6">
        <v>29.49</v>
      </c>
      <c r="G6" s="1">
        <v>34.9</v>
      </c>
      <c r="H6" s="1">
        <v>28.9</v>
      </c>
      <c r="I6" s="1">
        <v>28.9</v>
      </c>
      <c r="J6" s="6">
        <v>39.299999999999997</v>
      </c>
      <c r="K6" s="1">
        <v>2.2999999999999998</v>
      </c>
      <c r="L6" s="6">
        <v>0.3</v>
      </c>
      <c r="M6" s="5">
        <v>0.159</v>
      </c>
      <c r="N6" s="6">
        <v>0.15</v>
      </c>
      <c r="O6" s="1">
        <v>77</v>
      </c>
      <c r="P6" s="6">
        <v>94</v>
      </c>
      <c r="Q6" s="1" t="s">
        <v>47</v>
      </c>
      <c r="R6" s="1">
        <v>1</v>
      </c>
      <c r="S6" s="1" t="s">
        <v>24</v>
      </c>
      <c r="T6" s="6">
        <v>1</v>
      </c>
      <c r="U6" s="1">
        <v>6</v>
      </c>
      <c r="V6" s="1">
        <v>0</v>
      </c>
      <c r="W6" s="9">
        <v>0.02</v>
      </c>
    </row>
    <row r="7" spans="1:23" s="1" customFormat="1" x14ac:dyDescent="0.2">
      <c r="A7" s="5" t="s">
        <v>69</v>
      </c>
      <c r="B7" s="1">
        <v>1899</v>
      </c>
      <c r="C7" s="1" t="s">
        <v>22</v>
      </c>
      <c r="D7" s="1">
        <v>3</v>
      </c>
      <c r="E7" s="5">
        <v>29.68</v>
      </c>
      <c r="F7" s="6">
        <v>29.84</v>
      </c>
      <c r="G7" s="1">
        <v>33</v>
      </c>
      <c r="H7" s="1">
        <v>30.9</v>
      </c>
      <c r="I7" s="1">
        <v>27.5</v>
      </c>
      <c r="J7" s="6">
        <v>40.799999999999997</v>
      </c>
      <c r="K7" s="1">
        <v>0.3</v>
      </c>
      <c r="L7" s="6">
        <v>0.2</v>
      </c>
      <c r="M7" s="5">
        <v>0.182</v>
      </c>
      <c r="N7" s="6">
        <v>0.16800000000000001</v>
      </c>
      <c r="O7" s="1">
        <v>96</v>
      </c>
      <c r="P7" s="6">
        <v>96</v>
      </c>
      <c r="Q7" s="1" t="s">
        <v>29</v>
      </c>
      <c r="R7" s="1">
        <v>0.5</v>
      </c>
      <c r="S7" s="1" t="s">
        <v>29</v>
      </c>
      <c r="T7" s="6">
        <v>0.5</v>
      </c>
      <c r="U7" s="1">
        <v>8</v>
      </c>
      <c r="V7" s="1">
        <v>1</v>
      </c>
      <c r="W7" s="9">
        <v>0.02</v>
      </c>
    </row>
    <row r="8" spans="1:23" s="1" customFormat="1" x14ac:dyDescent="0.2">
      <c r="A8" s="5" t="s">
        <v>69</v>
      </c>
      <c r="B8" s="1">
        <v>1899</v>
      </c>
      <c r="C8" s="1" t="s">
        <v>22</v>
      </c>
      <c r="D8" s="1">
        <v>4</v>
      </c>
      <c r="E8" s="5">
        <v>29.88</v>
      </c>
      <c r="F8" s="6">
        <v>29.66</v>
      </c>
      <c r="G8" s="1">
        <v>26.9</v>
      </c>
      <c r="H8" s="1">
        <v>32</v>
      </c>
      <c r="I8" s="1">
        <v>25</v>
      </c>
      <c r="J8" s="6">
        <v>40.299999999999997</v>
      </c>
      <c r="K8" s="1">
        <v>0.2</v>
      </c>
      <c r="L8" s="6">
        <v>0.3</v>
      </c>
      <c r="M8" s="5">
        <v>0.14000000000000001</v>
      </c>
      <c r="N8" s="6">
        <v>0.17399999999999999</v>
      </c>
      <c r="O8" s="1">
        <v>96</v>
      </c>
      <c r="P8" s="6">
        <v>96</v>
      </c>
      <c r="Q8" s="1" t="s">
        <v>29</v>
      </c>
      <c r="R8" s="1">
        <v>0.5</v>
      </c>
      <c r="S8" s="1" t="s">
        <v>38</v>
      </c>
      <c r="T8" s="6">
        <v>0.5</v>
      </c>
      <c r="U8" s="1">
        <v>10</v>
      </c>
      <c r="V8" s="1">
        <v>10</v>
      </c>
      <c r="W8" s="9">
        <v>7.0000000000000007E-2</v>
      </c>
    </row>
    <row r="9" spans="1:23" s="1" customFormat="1" x14ac:dyDescent="0.2">
      <c r="A9" s="5" t="s">
        <v>69</v>
      </c>
      <c r="B9" s="1">
        <v>1899</v>
      </c>
      <c r="C9" s="1" t="s">
        <v>22</v>
      </c>
      <c r="D9" s="1">
        <v>5</v>
      </c>
      <c r="E9" s="5">
        <v>29.44</v>
      </c>
      <c r="F9" s="6">
        <v>29.69</v>
      </c>
      <c r="G9" s="1">
        <v>33.9</v>
      </c>
      <c r="H9" s="1">
        <v>37.1</v>
      </c>
      <c r="I9" s="1">
        <v>31.9</v>
      </c>
      <c r="J9" s="6">
        <v>38.5</v>
      </c>
      <c r="K9" s="1">
        <v>1.1000000000000001</v>
      </c>
      <c r="L9" s="6">
        <v>0.5</v>
      </c>
      <c r="M9" s="5">
        <v>0.17199999999999999</v>
      </c>
      <c r="N9" s="6">
        <v>0.21099999999999999</v>
      </c>
      <c r="O9" s="1">
        <v>88</v>
      </c>
      <c r="P9" s="6">
        <v>95</v>
      </c>
      <c r="Q9" s="1" t="s">
        <v>31</v>
      </c>
      <c r="R9" s="1">
        <v>0.5</v>
      </c>
      <c r="S9" s="1" t="s">
        <v>47</v>
      </c>
      <c r="T9" s="6">
        <v>0.5</v>
      </c>
      <c r="U9" s="1">
        <v>10</v>
      </c>
      <c r="V9" s="1">
        <v>10</v>
      </c>
      <c r="W9" s="9">
        <v>0.01</v>
      </c>
    </row>
    <row r="10" spans="1:23" s="1" customFormat="1" x14ac:dyDescent="0.2">
      <c r="A10" s="5" t="s">
        <v>69</v>
      </c>
      <c r="B10" s="1">
        <v>1899</v>
      </c>
      <c r="C10" s="1" t="s">
        <v>22</v>
      </c>
      <c r="D10" s="1">
        <v>6</v>
      </c>
      <c r="E10" s="5">
        <v>29.7</v>
      </c>
      <c r="F10" s="6">
        <v>29.65</v>
      </c>
      <c r="G10" s="1">
        <v>34.9</v>
      </c>
      <c r="H10" s="1">
        <v>33.4</v>
      </c>
      <c r="I10" s="1">
        <v>32.700000000000003</v>
      </c>
      <c r="J10" s="6">
        <v>37.299999999999997</v>
      </c>
      <c r="K10" s="1">
        <v>1.9</v>
      </c>
      <c r="L10" s="6">
        <v>0.5</v>
      </c>
      <c r="M10" s="5">
        <v>0.16700000000000001</v>
      </c>
      <c r="N10" s="6">
        <v>0.18</v>
      </c>
      <c r="O10" s="1">
        <v>81</v>
      </c>
      <c r="P10" s="6">
        <v>93</v>
      </c>
      <c r="Q10" s="1" t="s">
        <v>33</v>
      </c>
      <c r="R10" s="1">
        <v>5</v>
      </c>
      <c r="S10" s="1" t="s">
        <v>31</v>
      </c>
      <c r="T10" s="6">
        <v>2</v>
      </c>
      <c r="U10" s="1">
        <v>10</v>
      </c>
      <c r="V10" s="1">
        <v>10</v>
      </c>
      <c r="W10" s="9">
        <v>0.14000000000000001</v>
      </c>
    </row>
    <row r="11" spans="1:23" s="1" customFormat="1" x14ac:dyDescent="0.2">
      <c r="A11" s="5" t="s">
        <v>69</v>
      </c>
      <c r="B11" s="1">
        <v>1899</v>
      </c>
      <c r="C11" s="1" t="s">
        <v>22</v>
      </c>
      <c r="D11" s="1">
        <v>7</v>
      </c>
      <c r="E11" s="5">
        <v>29.39</v>
      </c>
      <c r="F11" s="6">
        <v>29.37</v>
      </c>
      <c r="G11" s="1">
        <v>39.9</v>
      </c>
      <c r="H11" s="1">
        <v>41.1</v>
      </c>
      <c r="I11" s="1">
        <v>33</v>
      </c>
      <c r="J11" s="6">
        <v>53.3</v>
      </c>
      <c r="K11" s="1">
        <v>0.2</v>
      </c>
      <c r="L11" s="6">
        <v>0.4</v>
      </c>
      <c r="M11" s="5">
        <v>0.24099999999999999</v>
      </c>
      <c r="N11" s="6">
        <v>0.249</v>
      </c>
      <c r="O11" s="1">
        <v>98</v>
      </c>
      <c r="P11" s="6">
        <v>97</v>
      </c>
      <c r="Q11" s="1" t="s">
        <v>31</v>
      </c>
      <c r="R11" s="1">
        <v>2</v>
      </c>
      <c r="S11" s="1" t="s">
        <v>38</v>
      </c>
      <c r="T11" s="6">
        <v>1</v>
      </c>
      <c r="U11" s="1">
        <v>10</v>
      </c>
      <c r="V11" s="1">
        <v>3</v>
      </c>
      <c r="W11" s="9">
        <v>0.21</v>
      </c>
    </row>
    <row r="12" spans="1:23" s="1" customFormat="1" x14ac:dyDescent="0.2">
      <c r="A12" s="5" t="s">
        <v>69</v>
      </c>
      <c r="B12" s="1">
        <v>1899</v>
      </c>
      <c r="C12" s="1" t="s">
        <v>22</v>
      </c>
      <c r="D12" s="1">
        <v>8</v>
      </c>
      <c r="E12" s="5">
        <v>29.35</v>
      </c>
      <c r="F12" s="6">
        <v>29.16</v>
      </c>
      <c r="G12" s="1">
        <v>46.8</v>
      </c>
      <c r="H12" s="1">
        <v>52.7</v>
      </c>
      <c r="I12" s="1">
        <v>40.9</v>
      </c>
      <c r="J12" s="6">
        <v>53.2</v>
      </c>
      <c r="K12" s="1">
        <v>0.9</v>
      </c>
      <c r="L12" s="6">
        <v>1.3</v>
      </c>
      <c r="M12" s="5">
        <v>0.29799999999999999</v>
      </c>
      <c r="N12" s="6">
        <v>0.36199999999999999</v>
      </c>
      <c r="O12" s="1">
        <v>93</v>
      </c>
      <c r="P12" s="6">
        <v>91</v>
      </c>
      <c r="Q12" s="1" t="s">
        <v>35</v>
      </c>
      <c r="R12" s="1">
        <v>1</v>
      </c>
      <c r="S12" s="1" t="s">
        <v>38</v>
      </c>
      <c r="T12" s="6">
        <v>5</v>
      </c>
      <c r="U12" s="1">
        <v>8</v>
      </c>
      <c r="V12" s="1">
        <v>10</v>
      </c>
      <c r="W12" s="9">
        <v>0.09</v>
      </c>
    </row>
    <row r="13" spans="1:23" s="1" customFormat="1" x14ac:dyDescent="0.2">
      <c r="A13" s="5" t="s">
        <v>69</v>
      </c>
      <c r="B13" s="1">
        <v>1899</v>
      </c>
      <c r="C13" s="1" t="s">
        <v>22</v>
      </c>
      <c r="D13" s="1">
        <v>9</v>
      </c>
      <c r="E13" s="5">
        <v>29.36</v>
      </c>
      <c r="F13" s="6">
        <v>29.25</v>
      </c>
      <c r="G13" s="1">
        <v>48.1</v>
      </c>
      <c r="H13" s="1">
        <v>57</v>
      </c>
      <c r="I13" s="1">
        <v>47.1</v>
      </c>
      <c r="J13" s="6">
        <v>57.7</v>
      </c>
      <c r="K13" s="1">
        <v>2.2999999999999998</v>
      </c>
      <c r="L13" s="6">
        <v>4.4000000000000004</v>
      </c>
      <c r="M13" s="5">
        <v>0.28000000000000003</v>
      </c>
      <c r="N13" s="6">
        <v>0.34200000000000003</v>
      </c>
      <c r="O13" s="1">
        <v>83</v>
      </c>
      <c r="P13" s="6">
        <v>74</v>
      </c>
      <c r="Q13" s="1" t="s">
        <v>38</v>
      </c>
      <c r="R13" s="1">
        <v>3</v>
      </c>
      <c r="S13" s="1" t="s">
        <v>35</v>
      </c>
      <c r="T13" s="6">
        <v>6</v>
      </c>
      <c r="U13" s="1">
        <v>10</v>
      </c>
      <c r="V13" s="1">
        <v>10</v>
      </c>
      <c r="W13" s="9">
        <v>0.14000000000000001</v>
      </c>
    </row>
    <row r="14" spans="1:23" s="1" customFormat="1" x14ac:dyDescent="0.2">
      <c r="A14" s="5" t="s">
        <v>69</v>
      </c>
      <c r="B14" s="1">
        <v>1899</v>
      </c>
      <c r="C14" s="1" t="s">
        <v>22</v>
      </c>
      <c r="D14" s="1">
        <v>10</v>
      </c>
      <c r="E14" s="5">
        <v>29.35</v>
      </c>
      <c r="F14" s="6">
        <v>29.43</v>
      </c>
      <c r="G14" s="1">
        <v>53.7</v>
      </c>
      <c r="H14" s="1">
        <v>50.1</v>
      </c>
      <c r="I14" s="1">
        <v>50.1</v>
      </c>
      <c r="J14" s="6">
        <v>64.400000000000006</v>
      </c>
      <c r="K14" s="1">
        <v>5</v>
      </c>
      <c r="L14" s="6">
        <v>2.2999999999999998</v>
      </c>
      <c r="M14" s="5">
        <v>0.28599999999999998</v>
      </c>
      <c r="N14" s="6">
        <v>0.30399999999999999</v>
      </c>
      <c r="O14" s="1">
        <v>69</v>
      </c>
      <c r="P14" s="6">
        <v>84</v>
      </c>
      <c r="Q14" s="1" t="s">
        <v>35</v>
      </c>
      <c r="R14" s="1">
        <v>3</v>
      </c>
      <c r="S14" s="1" t="s">
        <v>35</v>
      </c>
      <c r="T14" s="6">
        <v>4</v>
      </c>
      <c r="U14" s="1">
        <v>10</v>
      </c>
      <c r="V14" s="1">
        <v>0</v>
      </c>
      <c r="W14" s="9" t="s">
        <v>25</v>
      </c>
    </row>
    <row r="15" spans="1:23" s="1" customFormat="1" x14ac:dyDescent="0.2">
      <c r="A15" s="5" t="s">
        <v>69</v>
      </c>
      <c r="B15" s="1">
        <v>1899</v>
      </c>
      <c r="C15" s="1" t="s">
        <v>22</v>
      </c>
      <c r="D15" s="1">
        <v>11</v>
      </c>
      <c r="E15" s="5">
        <v>29.45</v>
      </c>
      <c r="F15" s="6">
        <v>29.1</v>
      </c>
      <c r="G15" s="1">
        <v>49.3</v>
      </c>
      <c r="H15" s="1">
        <v>51.5</v>
      </c>
      <c r="I15" s="1">
        <v>46.9</v>
      </c>
      <c r="J15" s="6">
        <v>54.4</v>
      </c>
      <c r="K15" s="1">
        <v>1.6</v>
      </c>
      <c r="L15" s="6">
        <v>3.8</v>
      </c>
      <c r="M15" s="5">
        <v>0.309</v>
      </c>
      <c r="N15" s="6">
        <v>0.28599999999999998</v>
      </c>
      <c r="O15" s="1">
        <v>89</v>
      </c>
      <c r="P15" s="6">
        <v>75</v>
      </c>
      <c r="Q15" s="1" t="s">
        <v>39</v>
      </c>
      <c r="R15" s="1">
        <v>4</v>
      </c>
      <c r="S15" s="1" t="s">
        <v>39</v>
      </c>
      <c r="T15" s="6">
        <v>6</v>
      </c>
      <c r="U15" s="1">
        <v>4</v>
      </c>
      <c r="V15" s="1">
        <v>10</v>
      </c>
      <c r="W15" s="9" t="s">
        <v>25</v>
      </c>
    </row>
    <row r="16" spans="1:23" s="1" customFormat="1" x14ac:dyDescent="0.2">
      <c r="A16" s="5" t="s">
        <v>69</v>
      </c>
      <c r="B16" s="1">
        <v>1899</v>
      </c>
      <c r="C16" s="1" t="s">
        <v>22</v>
      </c>
      <c r="D16" s="1">
        <v>12</v>
      </c>
      <c r="E16" s="5">
        <v>29.06</v>
      </c>
      <c r="F16" s="6">
        <v>29.25</v>
      </c>
      <c r="G16" s="1">
        <v>45</v>
      </c>
      <c r="H16" s="1">
        <v>41</v>
      </c>
      <c r="I16" s="1">
        <v>40.9</v>
      </c>
      <c r="J16" s="6">
        <v>52.4</v>
      </c>
      <c r="K16" s="1">
        <v>2.9</v>
      </c>
      <c r="L16" s="6">
        <v>1.4</v>
      </c>
      <c r="M16" s="5">
        <v>0.23599999999999999</v>
      </c>
      <c r="N16" s="6">
        <v>0.22700000000000001</v>
      </c>
      <c r="O16" s="1">
        <v>78</v>
      </c>
      <c r="P16" s="6">
        <v>88</v>
      </c>
      <c r="Q16" s="1" t="s">
        <v>35</v>
      </c>
      <c r="R16" s="1">
        <v>6</v>
      </c>
      <c r="S16" s="1" t="s">
        <v>35</v>
      </c>
      <c r="T16" s="6">
        <v>4</v>
      </c>
      <c r="U16" s="1">
        <v>6</v>
      </c>
      <c r="V16" s="1">
        <v>0</v>
      </c>
      <c r="W16" s="9">
        <v>0.02</v>
      </c>
    </row>
    <row r="17" spans="1:23" s="1" customFormat="1" x14ac:dyDescent="0.2">
      <c r="A17" s="5" t="s">
        <v>69</v>
      </c>
      <c r="B17" s="1">
        <v>1899</v>
      </c>
      <c r="C17" s="1" t="s">
        <v>22</v>
      </c>
      <c r="D17" s="1">
        <v>13</v>
      </c>
      <c r="E17" s="5">
        <v>29.15</v>
      </c>
      <c r="F17" s="6">
        <v>28.99</v>
      </c>
      <c r="G17" s="1">
        <v>49.9</v>
      </c>
      <c r="H17" s="1">
        <v>49</v>
      </c>
      <c r="I17" s="1">
        <v>36.4</v>
      </c>
      <c r="J17" s="6">
        <v>53.5</v>
      </c>
      <c r="K17" s="1">
        <v>1.3</v>
      </c>
      <c r="L17" s="6">
        <v>4.7</v>
      </c>
      <c r="M17" s="5">
        <v>0.32500000000000001</v>
      </c>
      <c r="N17" s="6">
        <v>0.23899999999999999</v>
      </c>
      <c r="O17" s="1">
        <v>91</v>
      </c>
      <c r="P17" s="6">
        <v>69</v>
      </c>
      <c r="Q17" s="1" t="s">
        <v>38</v>
      </c>
      <c r="R17" s="1">
        <v>3</v>
      </c>
      <c r="S17" s="1" t="s">
        <v>35</v>
      </c>
      <c r="T17" s="6">
        <v>8</v>
      </c>
      <c r="U17" s="1">
        <v>10</v>
      </c>
      <c r="V17" s="1">
        <v>10</v>
      </c>
      <c r="W17" s="9">
        <v>0.01</v>
      </c>
    </row>
    <row r="18" spans="1:23" s="1" customFormat="1" x14ac:dyDescent="0.2">
      <c r="A18" s="5" t="s">
        <v>69</v>
      </c>
      <c r="B18" s="1">
        <v>1899</v>
      </c>
      <c r="C18" s="1" t="s">
        <v>22</v>
      </c>
      <c r="D18" s="1">
        <v>14</v>
      </c>
      <c r="E18" s="5">
        <v>29.35</v>
      </c>
      <c r="F18" s="6">
        <v>29.55</v>
      </c>
      <c r="G18" s="1">
        <v>45.8</v>
      </c>
      <c r="H18" s="1">
        <v>43.9</v>
      </c>
      <c r="I18" s="1">
        <v>42.1</v>
      </c>
      <c r="J18" s="6">
        <v>51.5</v>
      </c>
      <c r="K18" s="1">
        <v>3</v>
      </c>
      <c r="L18" s="6">
        <v>1.1000000000000001</v>
      </c>
      <c r="M18" s="5">
        <v>0.24099999999999999</v>
      </c>
      <c r="N18" s="6">
        <v>0.26200000000000001</v>
      </c>
      <c r="O18" s="1">
        <v>78</v>
      </c>
      <c r="P18" s="6">
        <v>91</v>
      </c>
      <c r="Q18" s="1" t="s">
        <v>35</v>
      </c>
      <c r="R18" s="1">
        <v>5</v>
      </c>
      <c r="S18" s="1" t="s">
        <v>35</v>
      </c>
      <c r="T18" s="6">
        <v>1</v>
      </c>
      <c r="U18" s="1">
        <v>5</v>
      </c>
      <c r="V18" s="1">
        <v>8</v>
      </c>
      <c r="W18" s="9" t="s">
        <v>25</v>
      </c>
    </row>
    <row r="19" spans="1:23" s="1" customFormat="1" x14ac:dyDescent="0.2">
      <c r="A19" s="5" t="s">
        <v>69</v>
      </c>
      <c r="B19" s="1">
        <v>1899</v>
      </c>
      <c r="C19" s="1" t="s">
        <v>22</v>
      </c>
      <c r="D19" s="1">
        <v>15</v>
      </c>
      <c r="E19" s="5">
        <v>29.67</v>
      </c>
      <c r="F19" s="6">
        <v>29.67</v>
      </c>
      <c r="G19" s="1">
        <v>44.3</v>
      </c>
      <c r="H19" s="1">
        <v>44.4</v>
      </c>
      <c r="I19" s="1">
        <v>39.4</v>
      </c>
      <c r="J19" s="6">
        <v>52.1</v>
      </c>
      <c r="K19" s="1">
        <v>0.7</v>
      </c>
      <c r="L19" s="6">
        <v>0.2</v>
      </c>
      <c r="M19" s="5">
        <v>0.27500000000000002</v>
      </c>
      <c r="N19" s="6">
        <v>0.28799999999999998</v>
      </c>
      <c r="O19" s="1">
        <v>95</v>
      </c>
      <c r="P19" s="6">
        <v>98</v>
      </c>
      <c r="Q19" s="1" t="s">
        <v>35</v>
      </c>
      <c r="R19" s="1">
        <v>2</v>
      </c>
      <c r="S19" s="1" t="s">
        <v>35</v>
      </c>
      <c r="T19" s="6">
        <v>0.5</v>
      </c>
      <c r="U19" s="1">
        <v>10</v>
      </c>
      <c r="V19" s="1">
        <v>10</v>
      </c>
      <c r="W19" s="9">
        <v>0.3</v>
      </c>
    </row>
    <row r="20" spans="1:23" s="1" customFormat="1" x14ac:dyDescent="0.2">
      <c r="A20" s="5" t="s">
        <v>69</v>
      </c>
      <c r="B20" s="1">
        <v>1899</v>
      </c>
      <c r="C20" s="1" t="s">
        <v>22</v>
      </c>
      <c r="D20" s="1">
        <v>16</v>
      </c>
      <c r="E20" s="5">
        <v>29.74</v>
      </c>
      <c r="F20" s="6">
        <v>29.88</v>
      </c>
      <c r="G20" s="1">
        <v>39.799999999999997</v>
      </c>
      <c r="H20" s="1">
        <v>39.5</v>
      </c>
      <c r="I20" s="1">
        <v>38</v>
      </c>
      <c r="J20" s="6">
        <v>49.4</v>
      </c>
      <c r="K20" s="1">
        <v>1</v>
      </c>
      <c r="L20" s="6">
        <v>1.3</v>
      </c>
      <c r="M20" s="5">
        <v>0.22500000000000001</v>
      </c>
      <c r="N20" s="6">
        <v>0.216</v>
      </c>
      <c r="O20" s="1">
        <v>92</v>
      </c>
      <c r="P20" s="6">
        <v>89</v>
      </c>
      <c r="Q20" s="1" t="s">
        <v>29</v>
      </c>
      <c r="R20" s="1">
        <v>2</v>
      </c>
      <c r="S20" s="1" t="s">
        <v>35</v>
      </c>
      <c r="T20" s="6">
        <v>0.5</v>
      </c>
      <c r="U20" s="1">
        <v>0</v>
      </c>
      <c r="V20" s="1">
        <v>5</v>
      </c>
      <c r="W20" s="9">
        <v>0.01</v>
      </c>
    </row>
    <row r="21" spans="1:23" s="1" customFormat="1" x14ac:dyDescent="0.2">
      <c r="A21" s="5" t="s">
        <v>69</v>
      </c>
      <c r="B21" s="1">
        <v>1899</v>
      </c>
      <c r="C21" s="1" t="s">
        <v>22</v>
      </c>
      <c r="D21" s="1">
        <v>17</v>
      </c>
      <c r="E21" s="5">
        <v>29.96</v>
      </c>
      <c r="F21" s="6">
        <v>29.95</v>
      </c>
      <c r="G21" s="1">
        <v>41.5</v>
      </c>
      <c r="H21" s="1">
        <v>41.4</v>
      </c>
      <c r="I21" s="1">
        <v>35</v>
      </c>
      <c r="J21" s="6">
        <v>54.4</v>
      </c>
      <c r="K21" s="1">
        <v>0.8</v>
      </c>
      <c r="L21" s="6">
        <v>0.8</v>
      </c>
      <c r="M21" s="5">
        <v>0.24399999999999999</v>
      </c>
      <c r="N21" s="6">
        <v>0.24299999999999999</v>
      </c>
      <c r="O21" s="1">
        <v>94</v>
      </c>
      <c r="P21" s="6">
        <v>94</v>
      </c>
      <c r="Q21" s="1" t="s">
        <v>38</v>
      </c>
      <c r="R21" s="1">
        <v>1</v>
      </c>
      <c r="S21" s="1" t="s">
        <v>32</v>
      </c>
      <c r="T21" s="6">
        <v>2</v>
      </c>
      <c r="U21" s="1">
        <v>0</v>
      </c>
      <c r="V21" s="1">
        <v>0</v>
      </c>
      <c r="W21" s="9">
        <v>0.01</v>
      </c>
    </row>
    <row r="22" spans="1:23" s="1" customFormat="1" x14ac:dyDescent="0.2">
      <c r="A22" s="5" t="s">
        <v>69</v>
      </c>
      <c r="B22" s="1">
        <v>1899</v>
      </c>
      <c r="C22" s="1" t="s">
        <v>22</v>
      </c>
      <c r="D22" s="1">
        <v>18</v>
      </c>
      <c r="E22" s="5">
        <v>29.96</v>
      </c>
      <c r="F22" s="6">
        <v>29.95</v>
      </c>
      <c r="G22" s="1">
        <v>40</v>
      </c>
      <c r="H22" s="1">
        <v>41.7</v>
      </c>
      <c r="I22" s="1">
        <v>38.700000000000003</v>
      </c>
      <c r="J22" s="6">
        <v>48.4</v>
      </c>
      <c r="K22" s="1">
        <v>0.2</v>
      </c>
      <c r="L22" s="6">
        <v>0</v>
      </c>
      <c r="M22" s="5">
        <v>0.24199999999999999</v>
      </c>
      <c r="N22" s="6">
        <v>0.26400000000000001</v>
      </c>
      <c r="O22" s="1">
        <v>98</v>
      </c>
      <c r="P22" s="6">
        <v>100</v>
      </c>
      <c r="Q22" s="1" t="s">
        <v>31</v>
      </c>
      <c r="R22" s="1">
        <v>1</v>
      </c>
      <c r="S22" s="1" t="s">
        <v>31</v>
      </c>
      <c r="T22" s="6">
        <v>0.5</v>
      </c>
      <c r="U22" s="1">
        <v>10</v>
      </c>
      <c r="V22" s="1">
        <v>10</v>
      </c>
      <c r="W22" s="9">
        <v>0.01</v>
      </c>
    </row>
    <row r="23" spans="1:23" s="1" customFormat="1" x14ac:dyDescent="0.2">
      <c r="A23" s="5" t="s">
        <v>69</v>
      </c>
      <c r="B23" s="1">
        <v>1899</v>
      </c>
      <c r="C23" s="1" t="s">
        <v>22</v>
      </c>
      <c r="D23" s="1">
        <v>19</v>
      </c>
      <c r="E23" s="5">
        <v>30.05</v>
      </c>
      <c r="F23" s="6">
        <v>30.1</v>
      </c>
      <c r="G23" s="1">
        <v>42.7</v>
      </c>
      <c r="H23" s="1">
        <v>41.9</v>
      </c>
      <c r="I23" s="1">
        <v>38.6</v>
      </c>
      <c r="J23" s="6">
        <v>48.5</v>
      </c>
      <c r="K23" s="1">
        <v>0</v>
      </c>
      <c r="L23" s="6">
        <v>0.2</v>
      </c>
      <c r="M23" s="5">
        <v>0.27400000000000002</v>
      </c>
      <c r="N23" s="6">
        <v>0.26100000000000001</v>
      </c>
      <c r="O23" s="1">
        <v>100</v>
      </c>
      <c r="P23" s="6">
        <v>98</v>
      </c>
      <c r="Q23" s="1" t="s">
        <v>35</v>
      </c>
      <c r="R23" s="1">
        <v>0.5</v>
      </c>
      <c r="S23" s="1" t="s">
        <v>47</v>
      </c>
      <c r="T23" s="6">
        <v>0.5</v>
      </c>
      <c r="U23" s="1">
        <v>10</v>
      </c>
      <c r="V23" s="1">
        <v>10</v>
      </c>
      <c r="W23" s="9" t="s">
        <v>25</v>
      </c>
    </row>
    <row r="24" spans="1:23" s="1" customFormat="1" x14ac:dyDescent="0.2">
      <c r="A24" s="5" t="s">
        <v>69</v>
      </c>
      <c r="B24" s="1">
        <v>1899</v>
      </c>
      <c r="C24" s="1" t="s">
        <v>22</v>
      </c>
      <c r="D24" s="1">
        <v>20</v>
      </c>
      <c r="E24" s="5">
        <v>30.16</v>
      </c>
      <c r="F24" s="6">
        <v>30.18</v>
      </c>
      <c r="G24" s="1">
        <v>42.7</v>
      </c>
      <c r="H24" s="1">
        <v>40.9</v>
      </c>
      <c r="I24" s="1">
        <v>40.1</v>
      </c>
      <c r="J24" s="6">
        <v>44.8</v>
      </c>
      <c r="K24" s="1">
        <v>1</v>
      </c>
      <c r="L24" s="6">
        <v>1.2</v>
      </c>
      <c r="M24" s="5">
        <v>0.252</v>
      </c>
      <c r="N24" s="6">
        <v>0.23</v>
      </c>
      <c r="O24" s="1">
        <v>92</v>
      </c>
      <c r="P24" s="6">
        <v>90</v>
      </c>
      <c r="Q24" s="1" t="s">
        <v>43</v>
      </c>
      <c r="R24" s="1">
        <v>4</v>
      </c>
      <c r="S24" s="1" t="s">
        <v>43</v>
      </c>
      <c r="T24" s="6">
        <v>4</v>
      </c>
      <c r="U24" s="1">
        <v>10</v>
      </c>
      <c r="V24" s="1">
        <v>7</v>
      </c>
      <c r="W24" s="9" t="s">
        <v>25</v>
      </c>
    </row>
    <row r="25" spans="1:23" s="1" customFormat="1" x14ac:dyDescent="0.2">
      <c r="A25" s="5" t="s">
        <v>69</v>
      </c>
      <c r="B25" s="1">
        <v>1899</v>
      </c>
      <c r="C25" s="1" t="s">
        <v>22</v>
      </c>
      <c r="D25" s="1">
        <v>21</v>
      </c>
      <c r="E25" s="5">
        <v>30.28</v>
      </c>
      <c r="F25" s="6">
        <v>30.27</v>
      </c>
      <c r="G25" s="1">
        <v>40.1</v>
      </c>
      <c r="H25" s="1">
        <v>35.299999999999997</v>
      </c>
      <c r="I25" s="1">
        <v>35</v>
      </c>
      <c r="J25" s="6">
        <v>45.3</v>
      </c>
      <c r="K25" s="1">
        <v>2.2000000000000002</v>
      </c>
      <c r="L25" s="6">
        <v>0.5</v>
      </c>
      <c r="M25" s="5">
        <v>0.20399999999999999</v>
      </c>
      <c r="N25" s="6">
        <v>0.19600000000000001</v>
      </c>
      <c r="O25" s="1">
        <v>82</v>
      </c>
      <c r="P25" s="6">
        <v>94</v>
      </c>
      <c r="Q25" s="1" t="s">
        <v>43</v>
      </c>
      <c r="R25" s="1">
        <v>5</v>
      </c>
      <c r="S25" s="1" t="s">
        <v>33</v>
      </c>
      <c r="T25" s="6">
        <v>2</v>
      </c>
      <c r="U25" s="1">
        <v>3</v>
      </c>
      <c r="V25" s="1">
        <v>0</v>
      </c>
      <c r="W25" s="9">
        <v>0.01</v>
      </c>
    </row>
    <row r="26" spans="1:23" s="1" customFormat="1" x14ac:dyDescent="0.2">
      <c r="A26" s="5" t="s">
        <v>69</v>
      </c>
      <c r="B26" s="1">
        <v>1899</v>
      </c>
      <c r="C26" s="1" t="s">
        <v>22</v>
      </c>
      <c r="D26" s="1">
        <v>22</v>
      </c>
      <c r="E26" s="5">
        <v>30.3</v>
      </c>
      <c r="F26" s="6">
        <v>30.24</v>
      </c>
      <c r="G26" s="1">
        <v>38.6</v>
      </c>
      <c r="H26" s="1">
        <v>32.4</v>
      </c>
      <c r="I26" s="1">
        <v>30</v>
      </c>
      <c r="J26" s="6">
        <v>51.4</v>
      </c>
      <c r="K26" s="1">
        <v>1.7</v>
      </c>
      <c r="L26" s="6">
        <v>0.7</v>
      </c>
      <c r="M26" s="5">
        <v>0.20100000000000001</v>
      </c>
      <c r="N26" s="6">
        <v>0.16800000000000001</v>
      </c>
      <c r="O26" s="1">
        <v>85</v>
      </c>
      <c r="P26" s="6">
        <v>90</v>
      </c>
      <c r="Q26" s="1" t="s">
        <v>43</v>
      </c>
      <c r="R26" s="1">
        <v>2</v>
      </c>
      <c r="S26" s="1" t="s">
        <v>31</v>
      </c>
      <c r="T26" s="6">
        <v>1</v>
      </c>
      <c r="U26" s="1">
        <v>0</v>
      </c>
      <c r="V26" s="1">
        <v>0</v>
      </c>
      <c r="W26" s="9">
        <v>0.01</v>
      </c>
    </row>
    <row r="27" spans="1:23" s="1" customFormat="1" x14ac:dyDescent="0.2">
      <c r="A27" s="5" t="s">
        <v>69</v>
      </c>
      <c r="B27" s="1">
        <v>1899</v>
      </c>
      <c r="C27" s="1" t="s">
        <v>22</v>
      </c>
      <c r="D27" s="1">
        <v>23</v>
      </c>
      <c r="E27" s="5">
        <v>30.2</v>
      </c>
      <c r="F27" s="6">
        <v>30.16</v>
      </c>
      <c r="G27" s="1">
        <v>36.799999999999997</v>
      </c>
      <c r="H27" s="1">
        <v>32.700000000000003</v>
      </c>
      <c r="I27" s="1">
        <v>27.7</v>
      </c>
      <c r="J27" s="6">
        <v>51.9</v>
      </c>
      <c r="K27" s="1">
        <v>1.2</v>
      </c>
      <c r="L27" s="6">
        <v>1</v>
      </c>
      <c r="M27" s="5">
        <v>0.19500000000000001</v>
      </c>
      <c r="N27" s="6">
        <v>0.16400000000000001</v>
      </c>
      <c r="O27" s="1">
        <v>89</v>
      </c>
      <c r="P27" s="6">
        <v>88</v>
      </c>
      <c r="Q27" s="1" t="s">
        <v>31</v>
      </c>
      <c r="R27" s="1">
        <v>1</v>
      </c>
      <c r="S27" s="1" t="s">
        <v>31</v>
      </c>
      <c r="T27" s="6">
        <v>0.5</v>
      </c>
      <c r="U27" s="1">
        <v>0</v>
      </c>
      <c r="V27" s="1">
        <v>3</v>
      </c>
      <c r="W27" s="9" t="s">
        <v>25</v>
      </c>
    </row>
    <row r="28" spans="1:23" s="1" customFormat="1" x14ac:dyDescent="0.2">
      <c r="A28" s="5" t="s">
        <v>69</v>
      </c>
      <c r="B28" s="1">
        <v>1899</v>
      </c>
      <c r="C28" s="1" t="s">
        <v>22</v>
      </c>
      <c r="D28" s="1">
        <v>24</v>
      </c>
      <c r="E28" s="5">
        <v>30.19</v>
      </c>
      <c r="F28" s="6">
        <v>30.22</v>
      </c>
      <c r="G28" s="1">
        <v>33.4</v>
      </c>
      <c r="H28" s="1">
        <v>34.700000000000003</v>
      </c>
      <c r="I28" s="1">
        <v>26</v>
      </c>
      <c r="J28" s="6">
        <v>51.4</v>
      </c>
      <c r="K28" s="1">
        <v>1.7</v>
      </c>
      <c r="L28" s="6">
        <v>1</v>
      </c>
      <c r="M28" s="5">
        <v>0.156</v>
      </c>
      <c r="N28" s="6">
        <v>0.18099999999999999</v>
      </c>
      <c r="O28" s="1">
        <v>81</v>
      </c>
      <c r="P28" s="6">
        <v>90</v>
      </c>
      <c r="Q28" s="1" t="s">
        <v>31</v>
      </c>
      <c r="R28" s="1">
        <v>0.5</v>
      </c>
      <c r="S28" s="1" t="s">
        <v>32</v>
      </c>
      <c r="T28" s="6">
        <v>1</v>
      </c>
      <c r="U28" s="1">
        <v>8</v>
      </c>
      <c r="V28" s="1">
        <v>0</v>
      </c>
      <c r="W28" s="9">
        <v>0.01</v>
      </c>
    </row>
    <row r="29" spans="1:23" s="1" customFormat="1" x14ac:dyDescent="0.2">
      <c r="A29" s="5" t="s">
        <v>69</v>
      </c>
      <c r="B29" s="1">
        <v>1899</v>
      </c>
      <c r="C29" s="1" t="s">
        <v>22</v>
      </c>
      <c r="D29" s="1">
        <v>25</v>
      </c>
      <c r="E29" s="5">
        <v>30.3</v>
      </c>
      <c r="F29" s="6">
        <v>30.3</v>
      </c>
      <c r="G29" s="1">
        <v>34.799999999999997</v>
      </c>
      <c r="H29" s="1">
        <v>30.1</v>
      </c>
      <c r="I29" s="1">
        <v>28.7</v>
      </c>
      <c r="J29" s="6">
        <v>42.1</v>
      </c>
      <c r="K29" s="1">
        <v>1.2</v>
      </c>
      <c r="L29" s="6">
        <v>1.2</v>
      </c>
      <c r="M29" s="5">
        <v>0.17899999999999999</v>
      </c>
      <c r="N29" s="6">
        <v>0.13600000000000001</v>
      </c>
      <c r="O29" s="1">
        <v>88</v>
      </c>
      <c r="P29" s="6">
        <v>81</v>
      </c>
      <c r="Q29" s="1" t="s">
        <v>33</v>
      </c>
      <c r="R29" s="1">
        <v>1</v>
      </c>
      <c r="S29" s="1" t="s">
        <v>33</v>
      </c>
      <c r="T29" s="6">
        <v>0.5</v>
      </c>
      <c r="U29" s="1">
        <v>7</v>
      </c>
      <c r="V29" s="1">
        <v>0</v>
      </c>
      <c r="W29" s="9">
        <v>0.01</v>
      </c>
    </row>
    <row r="30" spans="1:23" s="1" customFormat="1" x14ac:dyDescent="0.2">
      <c r="A30" s="5" t="s">
        <v>69</v>
      </c>
      <c r="B30" s="1">
        <v>1899</v>
      </c>
      <c r="C30" s="1" t="s">
        <v>22</v>
      </c>
      <c r="D30" s="1">
        <v>26</v>
      </c>
      <c r="E30" s="5">
        <v>30.29</v>
      </c>
      <c r="F30" s="6">
        <v>30.3</v>
      </c>
      <c r="G30" s="1">
        <v>33.9</v>
      </c>
      <c r="H30" s="1">
        <v>31.9</v>
      </c>
      <c r="I30" s="1">
        <v>24</v>
      </c>
      <c r="J30" s="6">
        <v>45.2</v>
      </c>
      <c r="K30" s="1">
        <v>2.2000000000000002</v>
      </c>
      <c r="L30" s="6">
        <v>1.1000000000000001</v>
      </c>
      <c r="M30" s="5">
        <v>0.152</v>
      </c>
      <c r="N30" s="6">
        <v>0.155</v>
      </c>
      <c r="O30" s="1">
        <v>78</v>
      </c>
      <c r="P30" s="6">
        <v>85</v>
      </c>
      <c r="Q30" s="1" t="s">
        <v>33</v>
      </c>
      <c r="R30" s="1">
        <v>2</v>
      </c>
      <c r="S30" s="1" t="s">
        <v>33</v>
      </c>
      <c r="T30" s="6">
        <v>2</v>
      </c>
      <c r="U30" s="1">
        <v>0</v>
      </c>
      <c r="V30" s="1">
        <v>6</v>
      </c>
      <c r="W30" s="9" t="s">
        <v>25</v>
      </c>
    </row>
    <row r="31" spans="1:23" s="1" customFormat="1" x14ac:dyDescent="0.2">
      <c r="A31" s="5" t="s">
        <v>69</v>
      </c>
      <c r="B31" s="1">
        <v>1899</v>
      </c>
      <c r="C31" s="1" t="s">
        <v>22</v>
      </c>
      <c r="D31" s="1">
        <v>27</v>
      </c>
      <c r="E31" s="5">
        <v>30.43</v>
      </c>
      <c r="F31" s="6">
        <v>30.47</v>
      </c>
      <c r="G31" s="1">
        <v>33.1</v>
      </c>
      <c r="H31" s="1">
        <v>28</v>
      </c>
      <c r="I31" s="1">
        <v>27.9</v>
      </c>
      <c r="J31" s="6">
        <v>42.4</v>
      </c>
      <c r="K31" s="1">
        <v>2.2999999999999998</v>
      </c>
      <c r="L31" s="6">
        <v>0.3</v>
      </c>
      <c r="M31" s="5">
        <v>0.14199999999999999</v>
      </c>
      <c r="N31" s="6">
        <v>0.14399999999999999</v>
      </c>
      <c r="O31" s="1">
        <v>75</v>
      </c>
      <c r="P31" s="6">
        <v>94</v>
      </c>
      <c r="Q31" s="1" t="s">
        <v>43</v>
      </c>
      <c r="R31" s="1">
        <v>2</v>
      </c>
      <c r="S31" s="1" t="s">
        <v>43</v>
      </c>
      <c r="T31" s="6">
        <v>0.5</v>
      </c>
      <c r="U31" s="1">
        <v>10</v>
      </c>
      <c r="V31" s="1">
        <v>0</v>
      </c>
      <c r="W31" s="9" t="s">
        <v>25</v>
      </c>
    </row>
    <row r="32" spans="1:23" s="1" customFormat="1" x14ac:dyDescent="0.2">
      <c r="A32" s="5" t="s">
        <v>69</v>
      </c>
      <c r="B32" s="1">
        <v>1899</v>
      </c>
      <c r="C32" s="1" t="s">
        <v>22</v>
      </c>
      <c r="D32" s="1">
        <v>28</v>
      </c>
      <c r="E32" s="5">
        <v>30.52</v>
      </c>
      <c r="F32" s="6">
        <v>30.48</v>
      </c>
      <c r="G32" s="1">
        <v>27.7</v>
      </c>
      <c r="H32" s="1">
        <v>33</v>
      </c>
      <c r="I32" s="1">
        <v>20.8</v>
      </c>
      <c r="J32" s="6">
        <v>50.4</v>
      </c>
      <c r="K32" s="1">
        <v>0.1</v>
      </c>
      <c r="L32" s="6">
        <v>1.4</v>
      </c>
      <c r="M32" s="5">
        <v>0.14799999999999999</v>
      </c>
      <c r="N32" s="6">
        <v>0.158</v>
      </c>
      <c r="O32" s="1">
        <v>99</v>
      </c>
      <c r="P32" s="6">
        <v>84</v>
      </c>
      <c r="Q32" s="1" t="s">
        <v>39</v>
      </c>
      <c r="R32" s="1">
        <v>1</v>
      </c>
      <c r="S32" s="1" t="s">
        <v>35</v>
      </c>
      <c r="T32" s="6">
        <v>1</v>
      </c>
      <c r="U32" s="1">
        <v>10</v>
      </c>
      <c r="V32" s="1">
        <v>0</v>
      </c>
      <c r="W32" s="9">
        <v>0.01</v>
      </c>
    </row>
    <row r="33" spans="1:23" s="1" customFormat="1" x14ac:dyDescent="0.2">
      <c r="A33" s="10"/>
      <c r="B33" s="11"/>
      <c r="C33" s="11"/>
      <c r="D33" s="12" t="s">
        <v>45</v>
      </c>
      <c r="E33" s="11">
        <v>29.783000000000001</v>
      </c>
      <c r="F33" s="12">
        <v>29.782</v>
      </c>
      <c r="G33" s="10">
        <v>39.5</v>
      </c>
      <c r="H33" s="11">
        <v>38.9</v>
      </c>
      <c r="I33" s="11">
        <v>34.5</v>
      </c>
      <c r="J33" s="12">
        <v>48.4</v>
      </c>
      <c r="K33" s="10">
        <v>1.4</v>
      </c>
      <c r="L33" s="12">
        <v>1.2</v>
      </c>
      <c r="M33" s="11">
        <v>0.218</v>
      </c>
      <c r="N33" s="11">
        <v>0.22</v>
      </c>
      <c r="O33" s="10">
        <v>87.6</v>
      </c>
      <c r="P33" s="12">
        <v>89.8</v>
      </c>
      <c r="Q33" s="10" t="s">
        <v>25</v>
      </c>
      <c r="R33" s="11">
        <v>2.2000000000000002</v>
      </c>
      <c r="S33" s="11" t="s">
        <v>25</v>
      </c>
      <c r="T33" s="12">
        <v>2</v>
      </c>
      <c r="U33" s="10">
        <v>7</v>
      </c>
      <c r="V33" s="12">
        <v>4.9000000000000004</v>
      </c>
      <c r="W33" s="13">
        <v>1.19</v>
      </c>
    </row>
    <row r="34" spans="1:23" x14ac:dyDescent="0.2">
      <c r="F34">
        <f>SUM(F5:F32)/28</f>
        <v>29.782857142857143</v>
      </c>
    </row>
  </sheetData>
  <mergeCells count="8">
    <mergeCell ref="E2:F2"/>
    <mergeCell ref="G2:J2"/>
    <mergeCell ref="K2:P2"/>
    <mergeCell ref="Q2:T2"/>
    <mergeCell ref="U2:V2"/>
    <mergeCell ref="K3:L3"/>
    <mergeCell ref="M3:N3"/>
    <mergeCell ref="O3:P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4A6CC-49D4-47FD-9DBF-F07FCE349F1A}">
  <dimension ref="A2:W33"/>
  <sheetViews>
    <sheetView topLeftCell="L25" workbookViewId="0">
      <selection activeCell="W34" sqref="W34"/>
    </sheetView>
  </sheetViews>
  <sheetFormatPr baseColWidth="10" defaultColWidth="8.83203125" defaultRowHeight="15" x14ac:dyDescent="0.2"/>
  <cols>
    <col min="1" max="1" width="14" customWidth="1"/>
  </cols>
  <sheetData>
    <row r="2" spans="1:23" s="2" customFormat="1" ht="32" x14ac:dyDescent="0.2">
      <c r="A2" s="14"/>
      <c r="B2" s="15"/>
      <c r="C2" s="15"/>
      <c r="D2" s="15"/>
      <c r="E2" s="31" t="s">
        <v>0</v>
      </c>
      <c r="F2" s="32"/>
      <c r="G2" s="33" t="s">
        <v>1</v>
      </c>
      <c r="H2" s="33"/>
      <c r="I2" s="33"/>
      <c r="J2" s="34"/>
      <c r="K2" s="29" t="s">
        <v>2</v>
      </c>
      <c r="L2" s="33"/>
      <c r="M2" s="33"/>
      <c r="N2" s="33"/>
      <c r="O2" s="33"/>
      <c r="P2" s="34"/>
      <c r="Q2" s="33" t="s">
        <v>3</v>
      </c>
      <c r="R2" s="33"/>
      <c r="S2" s="33"/>
      <c r="T2" s="34"/>
      <c r="U2" s="29" t="s">
        <v>4</v>
      </c>
      <c r="V2" s="30"/>
      <c r="W2" s="7" t="s">
        <v>5</v>
      </c>
    </row>
    <row r="3" spans="1:23" s="2" customFormat="1" x14ac:dyDescent="0.2">
      <c r="A3" s="3"/>
      <c r="E3" s="16"/>
      <c r="F3" s="17"/>
      <c r="J3" s="4"/>
      <c r="K3" s="35" t="s">
        <v>6</v>
      </c>
      <c r="L3" s="36"/>
      <c r="M3" s="35" t="s">
        <v>7</v>
      </c>
      <c r="N3" s="36"/>
      <c r="O3" s="37" t="s">
        <v>8</v>
      </c>
      <c r="P3" s="38"/>
      <c r="T3" s="4"/>
      <c r="V3" s="1"/>
      <c r="W3" s="18"/>
    </row>
    <row r="4" spans="1:23" s="2" customFormat="1" x14ac:dyDescent="0.2">
      <c r="A4" s="3" t="s">
        <v>9</v>
      </c>
      <c r="B4" s="2" t="s">
        <v>10</v>
      </c>
      <c r="C4" s="2" t="s">
        <v>11</v>
      </c>
      <c r="D4" s="2" t="s">
        <v>12</v>
      </c>
      <c r="E4" s="3" t="s">
        <v>13</v>
      </c>
      <c r="F4" s="4" t="s">
        <v>14</v>
      </c>
      <c r="G4" s="2" t="s">
        <v>13</v>
      </c>
      <c r="H4" s="2" t="s">
        <v>14</v>
      </c>
      <c r="I4" s="2" t="s">
        <v>15</v>
      </c>
      <c r="J4" s="4" t="s">
        <v>16</v>
      </c>
      <c r="K4" s="2" t="s">
        <v>13</v>
      </c>
      <c r="L4" s="4" t="s">
        <v>14</v>
      </c>
      <c r="M4" s="3" t="s">
        <v>13</v>
      </c>
      <c r="N4" s="4" t="s">
        <v>14</v>
      </c>
      <c r="O4" s="2" t="s">
        <v>13</v>
      </c>
      <c r="P4" s="4" t="s">
        <v>14</v>
      </c>
      <c r="Q4" s="2" t="s">
        <v>17</v>
      </c>
      <c r="R4" s="2" t="s">
        <v>18</v>
      </c>
      <c r="S4" s="2" t="s">
        <v>19</v>
      </c>
      <c r="T4" s="4" t="s">
        <v>20</v>
      </c>
      <c r="U4" s="2" t="s">
        <v>13</v>
      </c>
      <c r="V4" s="2" t="s">
        <v>14</v>
      </c>
      <c r="W4" s="8" t="s">
        <v>13</v>
      </c>
    </row>
    <row r="5" spans="1:23" s="1" customFormat="1" x14ac:dyDescent="0.2">
      <c r="A5" s="5" t="s">
        <v>70</v>
      </c>
      <c r="B5" s="1">
        <v>1899</v>
      </c>
      <c r="C5" s="1" t="s">
        <v>22</v>
      </c>
      <c r="D5" s="1">
        <v>1</v>
      </c>
      <c r="E5" s="5">
        <v>29.26</v>
      </c>
      <c r="F5" s="6">
        <v>29.22</v>
      </c>
      <c r="G5" s="1">
        <v>35.299999999999997</v>
      </c>
      <c r="H5" s="1">
        <v>36.5</v>
      </c>
      <c r="I5" s="1">
        <v>33</v>
      </c>
      <c r="J5" s="6">
        <v>41.2</v>
      </c>
      <c r="K5" s="1">
        <v>2.4</v>
      </c>
      <c r="L5" s="6">
        <v>1</v>
      </c>
      <c r="M5" s="5">
        <v>0.16</v>
      </c>
      <c r="N5" s="6">
        <v>0.19700000000000001</v>
      </c>
      <c r="O5" s="1">
        <v>78</v>
      </c>
      <c r="P5" s="6">
        <v>92</v>
      </c>
      <c r="Q5" s="1" t="s">
        <v>33</v>
      </c>
      <c r="R5" s="1">
        <v>1</v>
      </c>
      <c r="S5" s="1" t="s">
        <v>43</v>
      </c>
      <c r="T5" s="6">
        <v>2</v>
      </c>
      <c r="U5" s="1">
        <v>10</v>
      </c>
      <c r="V5" s="1">
        <v>10</v>
      </c>
      <c r="W5" s="9" t="s">
        <v>25</v>
      </c>
    </row>
    <row r="6" spans="1:23" s="1" customFormat="1" x14ac:dyDescent="0.2">
      <c r="A6" s="5" t="s">
        <v>70</v>
      </c>
      <c r="B6" s="1">
        <v>1899</v>
      </c>
      <c r="C6" s="1" t="s">
        <v>22</v>
      </c>
      <c r="D6" s="1">
        <v>2</v>
      </c>
      <c r="E6" s="5">
        <v>29.33</v>
      </c>
      <c r="F6" s="6">
        <v>29.5</v>
      </c>
      <c r="G6" s="1">
        <v>32.799999999999997</v>
      </c>
      <c r="H6" s="1">
        <v>34.200000000000003</v>
      </c>
      <c r="I6" s="1">
        <v>29.2</v>
      </c>
      <c r="J6" s="6">
        <v>40.5</v>
      </c>
      <c r="K6" s="1">
        <v>1.2</v>
      </c>
      <c r="L6" s="6">
        <v>1.7</v>
      </c>
      <c r="M6" s="5">
        <v>0.16200000000000001</v>
      </c>
      <c r="N6" s="6">
        <v>0.16400000000000001</v>
      </c>
      <c r="O6" s="1">
        <v>86</v>
      </c>
      <c r="P6" s="6">
        <v>82</v>
      </c>
      <c r="Q6" s="1" t="s">
        <v>47</v>
      </c>
      <c r="R6" s="1">
        <v>2</v>
      </c>
      <c r="S6" s="1" t="s">
        <v>30</v>
      </c>
      <c r="T6" s="6">
        <v>3</v>
      </c>
      <c r="U6" s="1">
        <v>2</v>
      </c>
      <c r="V6" s="1">
        <v>2</v>
      </c>
      <c r="W6" s="9" t="s">
        <v>25</v>
      </c>
    </row>
    <row r="7" spans="1:23" s="1" customFormat="1" x14ac:dyDescent="0.2">
      <c r="A7" s="5" t="s">
        <v>70</v>
      </c>
      <c r="B7" s="1">
        <v>1899</v>
      </c>
      <c r="C7" s="1" t="s">
        <v>22</v>
      </c>
      <c r="D7" s="1">
        <v>3</v>
      </c>
      <c r="E7" s="5">
        <v>29.63</v>
      </c>
      <c r="F7" s="6">
        <v>29.61</v>
      </c>
      <c r="G7" s="1">
        <v>33.700000000000003</v>
      </c>
      <c r="H7" s="1">
        <v>36.1</v>
      </c>
      <c r="I7" s="1">
        <v>27.9</v>
      </c>
      <c r="J7" s="6">
        <v>40.799999999999997</v>
      </c>
      <c r="K7" s="1">
        <v>2.2000000000000002</v>
      </c>
      <c r="L7" s="6">
        <v>2.6</v>
      </c>
      <c r="M7" s="5">
        <v>0.15</v>
      </c>
      <c r="N7" s="6">
        <v>0.16600000000000001</v>
      </c>
      <c r="O7" s="1">
        <v>77</v>
      </c>
      <c r="P7" s="6">
        <v>77</v>
      </c>
      <c r="Q7" s="1" t="s">
        <v>43</v>
      </c>
      <c r="R7" s="1">
        <v>3</v>
      </c>
      <c r="S7" s="1" t="s">
        <v>31</v>
      </c>
      <c r="T7" s="6">
        <v>4</v>
      </c>
      <c r="U7" s="1">
        <v>0</v>
      </c>
      <c r="V7" s="1">
        <v>0</v>
      </c>
      <c r="W7" s="9" t="s">
        <v>25</v>
      </c>
    </row>
    <row r="8" spans="1:23" s="1" customFormat="1" x14ac:dyDescent="0.2">
      <c r="A8" s="5" t="s">
        <v>70</v>
      </c>
      <c r="B8" s="1">
        <v>1899</v>
      </c>
      <c r="C8" s="1" t="s">
        <v>22</v>
      </c>
      <c r="D8" s="1">
        <v>4</v>
      </c>
      <c r="E8" s="5">
        <v>29.51</v>
      </c>
      <c r="F8" s="6">
        <v>29.35</v>
      </c>
      <c r="G8" s="1">
        <v>38.299999999999997</v>
      </c>
      <c r="H8" s="1">
        <v>39.5</v>
      </c>
      <c r="I8" s="1">
        <v>32.200000000000003</v>
      </c>
      <c r="J8" s="6">
        <v>40.6</v>
      </c>
      <c r="K8" s="1">
        <v>1.7</v>
      </c>
      <c r="L8" s="6">
        <v>0</v>
      </c>
      <c r="M8" s="5">
        <v>0.19800000000000001</v>
      </c>
      <c r="N8" s="6">
        <v>0.24299999999999999</v>
      </c>
      <c r="O8" s="1">
        <v>86</v>
      </c>
      <c r="P8" s="6">
        <v>100</v>
      </c>
      <c r="Q8" s="1" t="s">
        <v>31</v>
      </c>
      <c r="R8" s="1">
        <v>8</v>
      </c>
      <c r="S8" s="1" t="s">
        <v>33</v>
      </c>
      <c r="T8" s="6">
        <v>5</v>
      </c>
      <c r="U8" s="1">
        <v>10</v>
      </c>
      <c r="V8" s="1">
        <v>10</v>
      </c>
      <c r="W8" s="9">
        <v>0.30499999999999999</v>
      </c>
    </row>
    <row r="9" spans="1:23" s="1" customFormat="1" x14ac:dyDescent="0.2">
      <c r="A9" s="5" t="s">
        <v>70</v>
      </c>
      <c r="B9" s="1">
        <v>1899</v>
      </c>
      <c r="C9" s="1" t="s">
        <v>22</v>
      </c>
      <c r="D9" s="1">
        <v>5</v>
      </c>
      <c r="E9" s="5">
        <v>29.31</v>
      </c>
      <c r="F9" s="6">
        <v>29.32</v>
      </c>
      <c r="G9" s="1">
        <v>38.6</v>
      </c>
      <c r="H9" s="1">
        <v>38.4</v>
      </c>
      <c r="I9" s="1">
        <v>38</v>
      </c>
      <c r="J9" s="6">
        <v>40.799999999999997</v>
      </c>
      <c r="K9" s="1">
        <v>0</v>
      </c>
      <c r="L9" s="6">
        <v>0</v>
      </c>
      <c r="M9" s="5">
        <v>0.23400000000000001</v>
      </c>
      <c r="N9" s="6">
        <v>0.23200000000000001</v>
      </c>
      <c r="O9" s="1">
        <v>100</v>
      </c>
      <c r="P9" s="6">
        <v>100</v>
      </c>
      <c r="Q9" s="1" t="s">
        <v>33</v>
      </c>
      <c r="R9" s="1">
        <v>2</v>
      </c>
      <c r="S9" s="1" t="s">
        <v>33</v>
      </c>
      <c r="T9" s="6">
        <v>6</v>
      </c>
      <c r="U9" s="1">
        <v>9</v>
      </c>
      <c r="V9" s="1">
        <v>10</v>
      </c>
      <c r="W9" s="9">
        <v>0.16200000000000001</v>
      </c>
    </row>
    <row r="10" spans="1:23" s="1" customFormat="1" x14ac:dyDescent="0.2">
      <c r="A10" s="5" t="s">
        <v>70</v>
      </c>
      <c r="B10" s="1">
        <v>1899</v>
      </c>
      <c r="C10" s="1" t="s">
        <v>22</v>
      </c>
      <c r="D10" s="1">
        <v>6</v>
      </c>
      <c r="E10" s="5">
        <v>29.4</v>
      </c>
      <c r="F10" s="6">
        <v>29.26</v>
      </c>
      <c r="G10" s="1">
        <v>41.2</v>
      </c>
      <c r="H10" s="1">
        <v>39.299999999999997</v>
      </c>
      <c r="I10" s="1">
        <v>37.5</v>
      </c>
      <c r="J10" s="6">
        <v>43.6</v>
      </c>
      <c r="K10" s="1">
        <v>0.3</v>
      </c>
      <c r="L10" s="6">
        <v>0.3</v>
      </c>
      <c r="M10" s="5">
        <v>0.253</v>
      </c>
      <c r="N10" s="6">
        <v>0.23400000000000001</v>
      </c>
      <c r="O10" s="1">
        <v>98</v>
      </c>
      <c r="P10" s="6">
        <v>98</v>
      </c>
      <c r="Q10" s="1" t="s">
        <v>31</v>
      </c>
      <c r="R10" s="1">
        <v>6</v>
      </c>
      <c r="S10" s="1" t="s">
        <v>33</v>
      </c>
      <c r="T10" s="6">
        <v>6</v>
      </c>
      <c r="U10" s="1">
        <v>10</v>
      </c>
      <c r="V10" s="1">
        <v>10</v>
      </c>
      <c r="W10" s="9">
        <v>0.154</v>
      </c>
    </row>
    <row r="11" spans="1:23" s="1" customFormat="1" x14ac:dyDescent="0.2">
      <c r="A11" s="5" t="s">
        <v>70</v>
      </c>
      <c r="B11" s="1">
        <v>1899</v>
      </c>
      <c r="C11" s="1" t="s">
        <v>22</v>
      </c>
      <c r="D11" s="1">
        <v>7</v>
      </c>
      <c r="E11" s="5">
        <v>29.05</v>
      </c>
      <c r="F11" s="6">
        <v>29.04</v>
      </c>
      <c r="G11" s="1">
        <v>46.7</v>
      </c>
      <c r="H11" s="1">
        <v>48.3</v>
      </c>
      <c r="I11" s="1">
        <v>38.799999999999997</v>
      </c>
      <c r="J11" s="6">
        <v>50.7</v>
      </c>
      <c r="K11" s="1">
        <v>0.2</v>
      </c>
      <c r="L11" s="6">
        <v>0</v>
      </c>
      <c r="M11" s="5">
        <v>0.315</v>
      </c>
      <c r="N11" s="6">
        <v>0.33900000000000002</v>
      </c>
      <c r="O11" s="1">
        <v>99</v>
      </c>
      <c r="P11" s="6">
        <v>100</v>
      </c>
      <c r="Q11" s="1" t="s">
        <v>39</v>
      </c>
      <c r="R11" s="1">
        <v>6</v>
      </c>
      <c r="S11" s="1" t="s">
        <v>39</v>
      </c>
      <c r="T11" s="6">
        <v>6</v>
      </c>
      <c r="U11" s="1">
        <v>9</v>
      </c>
      <c r="V11" s="1">
        <v>10</v>
      </c>
      <c r="W11" s="9">
        <v>0.14199999999999999</v>
      </c>
    </row>
    <row r="12" spans="1:23" s="1" customFormat="1" x14ac:dyDescent="0.2">
      <c r="A12" s="5" t="s">
        <v>70</v>
      </c>
      <c r="B12" s="1">
        <v>1899</v>
      </c>
      <c r="C12" s="1" t="s">
        <v>22</v>
      </c>
      <c r="D12" s="1">
        <v>8</v>
      </c>
      <c r="E12" s="5">
        <v>28.95</v>
      </c>
      <c r="F12" s="6">
        <v>28.89</v>
      </c>
      <c r="G12" s="1">
        <v>47.9</v>
      </c>
      <c r="H12" s="1">
        <v>47.4</v>
      </c>
      <c r="I12" s="1">
        <v>45.1</v>
      </c>
      <c r="J12" s="6">
        <v>51.2</v>
      </c>
      <c r="K12" s="1">
        <v>0</v>
      </c>
      <c r="L12" s="6">
        <v>1.7</v>
      </c>
      <c r="M12" s="5">
        <v>0.33400000000000002</v>
      </c>
      <c r="N12" s="6">
        <v>0.28599999999999998</v>
      </c>
      <c r="O12" s="1">
        <v>100</v>
      </c>
      <c r="P12" s="6">
        <v>88</v>
      </c>
      <c r="Q12" s="1" t="s">
        <v>39</v>
      </c>
      <c r="R12" s="1">
        <v>5</v>
      </c>
      <c r="S12" s="1" t="s">
        <v>39</v>
      </c>
      <c r="T12" s="6">
        <v>6</v>
      </c>
      <c r="U12" s="1">
        <v>10</v>
      </c>
      <c r="V12" s="1">
        <v>0</v>
      </c>
      <c r="W12" s="9">
        <v>0.12</v>
      </c>
    </row>
    <row r="13" spans="1:23" s="1" customFormat="1" x14ac:dyDescent="0.2">
      <c r="A13" s="5" t="s">
        <v>70</v>
      </c>
      <c r="B13" s="1">
        <v>1899</v>
      </c>
      <c r="C13" s="1" t="s">
        <v>22</v>
      </c>
      <c r="D13" s="1">
        <v>9</v>
      </c>
      <c r="E13" s="5">
        <v>29.05</v>
      </c>
      <c r="F13" s="6">
        <v>29</v>
      </c>
      <c r="G13" s="1">
        <v>47.9</v>
      </c>
      <c r="H13" s="1">
        <v>50.5</v>
      </c>
      <c r="I13" s="1">
        <v>46.1</v>
      </c>
      <c r="J13" s="6">
        <v>53.2</v>
      </c>
      <c r="K13" s="1">
        <v>0.4</v>
      </c>
      <c r="L13" s="6">
        <v>0</v>
      </c>
      <c r="M13" s="5">
        <v>0.32300000000000001</v>
      </c>
      <c r="N13" s="6">
        <v>0.36799999999999999</v>
      </c>
      <c r="O13" s="1">
        <v>98</v>
      </c>
      <c r="P13" s="6">
        <v>100</v>
      </c>
      <c r="Q13" s="1" t="s">
        <v>32</v>
      </c>
      <c r="R13" s="1">
        <v>5</v>
      </c>
      <c r="S13" s="1" t="s">
        <v>39</v>
      </c>
      <c r="T13" s="6">
        <v>7</v>
      </c>
      <c r="U13" s="1">
        <v>10</v>
      </c>
      <c r="V13" s="1">
        <v>10</v>
      </c>
      <c r="W13" s="9">
        <v>0.45500000000000002</v>
      </c>
    </row>
    <row r="14" spans="1:23" s="1" customFormat="1" x14ac:dyDescent="0.2">
      <c r="A14" s="5" t="s">
        <v>70</v>
      </c>
      <c r="B14" s="1">
        <v>1899</v>
      </c>
      <c r="C14" s="1" t="s">
        <v>22</v>
      </c>
      <c r="D14" s="1">
        <v>10</v>
      </c>
      <c r="E14" s="5">
        <v>29</v>
      </c>
      <c r="F14" s="6">
        <v>29.14</v>
      </c>
      <c r="G14" s="1">
        <v>49.5</v>
      </c>
      <c r="H14" s="1">
        <v>48.4</v>
      </c>
      <c r="I14" s="1">
        <v>48.1</v>
      </c>
      <c r="J14" s="6">
        <v>52.2</v>
      </c>
      <c r="K14" s="1">
        <v>0</v>
      </c>
      <c r="L14" s="6">
        <v>0.5</v>
      </c>
      <c r="M14" s="5">
        <v>0.35499999999999998</v>
      </c>
      <c r="N14" s="6">
        <v>0.32800000000000001</v>
      </c>
      <c r="O14" s="1">
        <v>100</v>
      </c>
      <c r="P14" s="6">
        <v>96</v>
      </c>
      <c r="Q14" s="1" t="s">
        <v>39</v>
      </c>
      <c r="R14" s="1">
        <v>6</v>
      </c>
      <c r="S14" s="1" t="s">
        <v>39</v>
      </c>
      <c r="T14" s="6">
        <v>6</v>
      </c>
      <c r="U14" s="1">
        <v>10</v>
      </c>
      <c r="V14" s="1">
        <v>1</v>
      </c>
      <c r="W14" s="9">
        <v>0.04</v>
      </c>
    </row>
    <row r="15" spans="1:23" s="1" customFormat="1" x14ac:dyDescent="0.2">
      <c r="A15" s="5" t="s">
        <v>70</v>
      </c>
      <c r="B15" s="1">
        <v>1899</v>
      </c>
      <c r="C15" s="1" t="s">
        <v>22</v>
      </c>
      <c r="D15" s="1">
        <v>11</v>
      </c>
      <c r="E15" s="5">
        <v>29.12</v>
      </c>
      <c r="F15" s="6">
        <v>28.89</v>
      </c>
      <c r="G15" s="1">
        <v>49.3</v>
      </c>
      <c r="H15" s="1">
        <v>45.5</v>
      </c>
      <c r="I15" s="1">
        <v>45.5</v>
      </c>
      <c r="J15" s="6">
        <v>53.1</v>
      </c>
      <c r="K15" s="1">
        <v>0.6</v>
      </c>
      <c r="L15" s="6">
        <v>0</v>
      </c>
      <c r="M15" s="5">
        <v>0.33600000000000002</v>
      </c>
      <c r="N15" s="6">
        <v>0.30499999999999999</v>
      </c>
      <c r="O15" s="1">
        <v>96</v>
      </c>
      <c r="P15" s="6">
        <v>100</v>
      </c>
      <c r="Q15" s="1" t="s">
        <v>39</v>
      </c>
      <c r="R15" s="1">
        <v>6</v>
      </c>
      <c r="S15" s="1" t="s">
        <v>39</v>
      </c>
      <c r="T15" s="6">
        <v>6</v>
      </c>
      <c r="U15" s="1">
        <v>5</v>
      </c>
      <c r="V15" s="1">
        <v>2</v>
      </c>
      <c r="W15" s="9">
        <v>0.312</v>
      </c>
    </row>
    <row r="16" spans="1:23" s="1" customFormat="1" x14ac:dyDescent="0.2">
      <c r="A16" s="5" t="s">
        <v>70</v>
      </c>
      <c r="B16" s="1">
        <v>1899</v>
      </c>
      <c r="C16" s="1" t="s">
        <v>22</v>
      </c>
      <c r="D16" s="1">
        <v>12</v>
      </c>
      <c r="E16" s="5">
        <v>28.75</v>
      </c>
      <c r="F16" s="6">
        <v>29.01</v>
      </c>
      <c r="G16" s="1">
        <v>44.5</v>
      </c>
      <c r="H16" s="1">
        <v>46</v>
      </c>
      <c r="I16" s="1">
        <v>43.3</v>
      </c>
      <c r="J16" s="6">
        <v>47.2</v>
      </c>
      <c r="K16" s="1">
        <v>2</v>
      </c>
      <c r="L16" s="6">
        <v>0.3</v>
      </c>
      <c r="M16" s="5">
        <v>0.249</v>
      </c>
      <c r="N16" s="6">
        <v>0.30399999999999999</v>
      </c>
      <c r="O16" s="1">
        <v>85</v>
      </c>
      <c r="P16" s="6">
        <v>98</v>
      </c>
      <c r="Q16" s="1" t="s">
        <v>42</v>
      </c>
      <c r="R16" s="1">
        <v>7</v>
      </c>
      <c r="S16" s="1" t="s">
        <v>42</v>
      </c>
      <c r="T16" s="6">
        <v>3</v>
      </c>
      <c r="U16" s="1">
        <v>8</v>
      </c>
      <c r="V16" s="1">
        <v>10</v>
      </c>
      <c r="W16" s="9">
        <v>0.12</v>
      </c>
    </row>
    <row r="17" spans="1:23" s="1" customFormat="1" x14ac:dyDescent="0.2">
      <c r="A17" s="5" t="s">
        <v>70</v>
      </c>
      <c r="B17" s="1">
        <v>1899</v>
      </c>
      <c r="C17" s="1" t="s">
        <v>22</v>
      </c>
      <c r="D17" s="1">
        <v>13</v>
      </c>
      <c r="E17" s="5">
        <v>28.71</v>
      </c>
      <c r="F17" s="6">
        <v>28.84</v>
      </c>
      <c r="G17" s="1">
        <v>49.4</v>
      </c>
      <c r="H17" s="1">
        <v>43.5</v>
      </c>
      <c r="I17" s="1">
        <v>41.9</v>
      </c>
      <c r="J17" s="6">
        <v>52.1</v>
      </c>
      <c r="K17" s="1">
        <v>0.7</v>
      </c>
      <c r="L17" s="6">
        <v>1</v>
      </c>
      <c r="M17" s="5">
        <v>0.33500000000000002</v>
      </c>
      <c r="N17" s="6">
        <v>0.26</v>
      </c>
      <c r="O17" s="1">
        <v>95</v>
      </c>
      <c r="P17" s="6">
        <v>92</v>
      </c>
      <c r="Q17" s="1" t="s">
        <v>35</v>
      </c>
      <c r="R17" s="1">
        <v>7</v>
      </c>
      <c r="S17" s="1" t="s">
        <v>42</v>
      </c>
      <c r="T17" s="6">
        <v>7</v>
      </c>
      <c r="U17" s="1">
        <v>10</v>
      </c>
      <c r="V17" s="1">
        <v>0</v>
      </c>
      <c r="W17" s="9">
        <v>0.22500000000000001</v>
      </c>
    </row>
    <row r="18" spans="1:23" s="1" customFormat="1" x14ac:dyDescent="0.2">
      <c r="A18" s="5" t="s">
        <v>70</v>
      </c>
      <c r="B18" s="1">
        <v>1899</v>
      </c>
      <c r="C18" s="1" t="s">
        <v>22</v>
      </c>
      <c r="D18" s="1">
        <v>14</v>
      </c>
      <c r="E18" s="5">
        <v>29.17</v>
      </c>
      <c r="F18" s="6">
        <v>29.31</v>
      </c>
      <c r="G18" s="1">
        <v>46.1</v>
      </c>
      <c r="H18" s="1">
        <v>46.5</v>
      </c>
      <c r="I18" s="1">
        <v>42.4</v>
      </c>
      <c r="J18" s="6">
        <v>51.1</v>
      </c>
      <c r="K18" s="1">
        <v>1.9</v>
      </c>
      <c r="L18" s="6">
        <v>0</v>
      </c>
      <c r="M18" s="5">
        <v>0.26800000000000002</v>
      </c>
      <c r="N18" s="6">
        <v>0.317</v>
      </c>
      <c r="O18" s="1">
        <v>86</v>
      </c>
      <c r="P18" s="6">
        <v>100</v>
      </c>
      <c r="Q18" s="1" t="s">
        <v>35</v>
      </c>
      <c r="R18" s="1">
        <v>5</v>
      </c>
      <c r="S18" s="1" t="s">
        <v>35</v>
      </c>
      <c r="T18" s="6">
        <v>3</v>
      </c>
      <c r="U18" s="1">
        <v>4</v>
      </c>
      <c r="V18" s="1">
        <v>10</v>
      </c>
      <c r="W18" s="9">
        <v>0.03</v>
      </c>
    </row>
    <row r="19" spans="1:23" s="1" customFormat="1" x14ac:dyDescent="0.2">
      <c r="A19" s="5" t="s">
        <v>70</v>
      </c>
      <c r="B19" s="1">
        <v>1899</v>
      </c>
      <c r="C19" s="1" t="s">
        <v>22</v>
      </c>
      <c r="D19" s="1">
        <v>15</v>
      </c>
      <c r="E19" s="5">
        <v>29.52</v>
      </c>
      <c r="F19" s="6">
        <v>29.54</v>
      </c>
      <c r="G19" s="1">
        <v>48.2</v>
      </c>
      <c r="H19" s="1">
        <v>39.9</v>
      </c>
      <c r="I19" s="1">
        <v>39.299999999999997</v>
      </c>
      <c r="J19" s="6">
        <v>48.8</v>
      </c>
      <c r="K19" s="1">
        <v>0.4</v>
      </c>
      <c r="L19" s="6">
        <v>0</v>
      </c>
      <c r="M19" s="5">
        <v>0.32800000000000001</v>
      </c>
      <c r="N19" s="6">
        <v>0.246</v>
      </c>
      <c r="O19" s="1">
        <v>98</v>
      </c>
      <c r="P19" s="6">
        <v>100</v>
      </c>
      <c r="Q19" s="1" t="s">
        <v>31</v>
      </c>
      <c r="R19" s="1">
        <v>2</v>
      </c>
      <c r="S19" s="1" t="s">
        <v>42</v>
      </c>
      <c r="T19" s="6">
        <v>1</v>
      </c>
      <c r="U19" s="1">
        <v>10</v>
      </c>
      <c r="V19" s="1">
        <v>2</v>
      </c>
      <c r="W19" s="9" t="s">
        <v>25</v>
      </c>
    </row>
    <row r="20" spans="1:23" s="1" customFormat="1" x14ac:dyDescent="0.2">
      <c r="A20" s="5" t="s">
        <v>70</v>
      </c>
      <c r="B20" s="1">
        <v>1899</v>
      </c>
      <c r="C20" s="1" t="s">
        <v>22</v>
      </c>
      <c r="D20" s="1">
        <v>16</v>
      </c>
      <c r="E20" s="5">
        <v>29.59</v>
      </c>
      <c r="F20" s="6">
        <v>29.65</v>
      </c>
      <c r="G20" s="1">
        <v>45.5</v>
      </c>
      <c r="H20" s="1">
        <v>45.6</v>
      </c>
      <c r="I20" s="1">
        <v>39.9</v>
      </c>
      <c r="J20" s="6">
        <v>49.2</v>
      </c>
      <c r="K20" s="1">
        <v>1.8</v>
      </c>
      <c r="L20" s="6">
        <v>0.1</v>
      </c>
      <c r="M20" s="5">
        <v>0.26300000000000001</v>
      </c>
      <c r="N20" s="6">
        <v>0.30399999999999999</v>
      </c>
      <c r="O20" s="1">
        <v>87</v>
      </c>
      <c r="P20" s="6">
        <v>100</v>
      </c>
      <c r="Q20" s="1" t="s">
        <v>35</v>
      </c>
      <c r="R20" s="1">
        <v>4</v>
      </c>
      <c r="S20" s="1" t="s">
        <v>35</v>
      </c>
      <c r="T20" s="6">
        <v>4</v>
      </c>
      <c r="U20" s="1">
        <v>9</v>
      </c>
      <c r="V20" s="1">
        <v>4</v>
      </c>
      <c r="W20" s="9" t="s">
        <v>25</v>
      </c>
    </row>
    <row r="21" spans="1:23" s="1" customFormat="1" x14ac:dyDescent="0.2">
      <c r="A21" s="5" t="s">
        <v>70</v>
      </c>
      <c r="B21" s="1">
        <v>1899</v>
      </c>
      <c r="C21" s="1" t="s">
        <v>22</v>
      </c>
      <c r="D21" s="1">
        <v>17</v>
      </c>
      <c r="E21" s="5">
        <v>29.64</v>
      </c>
      <c r="F21" s="6">
        <v>29.7</v>
      </c>
      <c r="G21" s="1">
        <v>45.4</v>
      </c>
      <c r="H21" s="1">
        <v>48.2</v>
      </c>
      <c r="I21" s="1">
        <v>43.4</v>
      </c>
      <c r="J21" s="6">
        <v>49.3</v>
      </c>
      <c r="K21" s="1">
        <v>0.2</v>
      </c>
      <c r="L21" s="6">
        <v>0</v>
      </c>
      <c r="M21" s="5">
        <v>0.29799999999999999</v>
      </c>
      <c r="N21" s="6">
        <v>0.33800000000000002</v>
      </c>
      <c r="O21" s="1">
        <v>98</v>
      </c>
      <c r="P21" s="6">
        <v>100</v>
      </c>
      <c r="Q21" s="1" t="s">
        <v>31</v>
      </c>
      <c r="R21" s="1">
        <v>3</v>
      </c>
      <c r="S21" s="1" t="s">
        <v>31</v>
      </c>
      <c r="T21" s="6">
        <v>2</v>
      </c>
      <c r="U21" s="1">
        <v>6</v>
      </c>
      <c r="V21" s="1">
        <v>10</v>
      </c>
      <c r="W21" s="9">
        <v>0.06</v>
      </c>
    </row>
    <row r="22" spans="1:23" s="1" customFormat="1" x14ac:dyDescent="0.2">
      <c r="A22" s="5" t="s">
        <v>70</v>
      </c>
      <c r="B22" s="1">
        <v>1899</v>
      </c>
      <c r="C22" s="1" t="s">
        <v>22</v>
      </c>
      <c r="D22" s="1">
        <v>18</v>
      </c>
      <c r="E22" s="5">
        <v>29.74</v>
      </c>
      <c r="F22" s="6">
        <v>29.85</v>
      </c>
      <c r="G22" s="1">
        <v>47.4</v>
      </c>
      <c r="H22" s="1">
        <v>45.5</v>
      </c>
      <c r="I22" s="1">
        <v>45.2</v>
      </c>
      <c r="J22" s="6">
        <v>51.2</v>
      </c>
      <c r="K22" s="1">
        <v>0</v>
      </c>
      <c r="L22" s="6">
        <v>0</v>
      </c>
      <c r="M22" s="5">
        <v>0.32800000000000001</v>
      </c>
      <c r="N22" s="6">
        <v>0.30499999999999999</v>
      </c>
      <c r="O22" s="1">
        <v>100</v>
      </c>
      <c r="P22" s="6">
        <v>100</v>
      </c>
      <c r="Q22" s="1" t="s">
        <v>31</v>
      </c>
      <c r="R22" s="1">
        <v>1</v>
      </c>
      <c r="S22" s="1" t="s">
        <v>39</v>
      </c>
      <c r="T22" s="6">
        <v>3</v>
      </c>
      <c r="U22" s="1">
        <v>10</v>
      </c>
      <c r="V22" s="1">
        <v>4</v>
      </c>
      <c r="W22" s="9">
        <v>0.02</v>
      </c>
    </row>
    <row r="23" spans="1:23" s="1" customFormat="1" x14ac:dyDescent="0.2">
      <c r="A23" s="5" t="s">
        <v>70</v>
      </c>
      <c r="B23" s="1">
        <v>1899</v>
      </c>
      <c r="C23" s="1" t="s">
        <v>22</v>
      </c>
      <c r="D23" s="1">
        <v>19</v>
      </c>
      <c r="E23" s="5">
        <v>29.95</v>
      </c>
      <c r="F23" s="6">
        <v>29.98</v>
      </c>
      <c r="G23" s="1">
        <v>41.7</v>
      </c>
      <c r="H23" s="1">
        <v>41.9</v>
      </c>
      <c r="I23" s="1">
        <v>40.299999999999997</v>
      </c>
      <c r="J23" s="6">
        <v>49.7</v>
      </c>
      <c r="K23" s="1">
        <v>0.2</v>
      </c>
      <c r="L23" s="6">
        <v>0</v>
      </c>
      <c r="M23" s="5">
        <v>0.26</v>
      </c>
      <c r="N23" s="6">
        <v>0.26600000000000001</v>
      </c>
      <c r="O23" s="1">
        <v>98</v>
      </c>
      <c r="P23" s="6">
        <v>100</v>
      </c>
      <c r="Q23" s="1" t="s">
        <v>44</v>
      </c>
      <c r="R23" s="1">
        <v>2</v>
      </c>
      <c r="S23" s="1" t="s">
        <v>47</v>
      </c>
      <c r="T23" s="6">
        <v>3</v>
      </c>
      <c r="U23" s="1">
        <v>6</v>
      </c>
      <c r="V23" s="1">
        <v>8</v>
      </c>
      <c r="W23" s="9">
        <v>0.22500000000000001</v>
      </c>
    </row>
    <row r="24" spans="1:23" s="1" customFormat="1" x14ac:dyDescent="0.2">
      <c r="A24" s="5" t="s">
        <v>70</v>
      </c>
      <c r="B24" s="1">
        <v>1899</v>
      </c>
      <c r="C24" s="1" t="s">
        <v>22</v>
      </c>
      <c r="D24" s="1">
        <v>20</v>
      </c>
      <c r="E24" s="5">
        <v>29.86</v>
      </c>
      <c r="F24" s="6">
        <v>29.83</v>
      </c>
      <c r="G24" s="1">
        <v>39.799999999999997</v>
      </c>
      <c r="H24" s="1">
        <v>44.5</v>
      </c>
      <c r="I24" s="1">
        <v>39.200000000000003</v>
      </c>
      <c r="J24" s="6">
        <v>46</v>
      </c>
      <c r="K24" s="1">
        <v>0</v>
      </c>
      <c r="L24" s="6">
        <v>0</v>
      </c>
      <c r="M24" s="5">
        <v>0.245</v>
      </c>
      <c r="N24" s="6">
        <v>0.29399999999999998</v>
      </c>
      <c r="O24" s="1">
        <v>100</v>
      </c>
      <c r="P24" s="6">
        <v>100</v>
      </c>
      <c r="Q24" s="1" t="s">
        <v>47</v>
      </c>
      <c r="R24" s="1">
        <v>3</v>
      </c>
      <c r="S24" s="1" t="s">
        <v>31</v>
      </c>
      <c r="T24" s="6">
        <v>4</v>
      </c>
      <c r="U24" s="1">
        <v>10</v>
      </c>
      <c r="V24" s="1">
        <v>10</v>
      </c>
      <c r="W24" s="9">
        <v>0.42399999999999999</v>
      </c>
    </row>
    <row r="25" spans="1:23" s="1" customFormat="1" x14ac:dyDescent="0.2">
      <c r="A25" s="5" t="s">
        <v>70</v>
      </c>
      <c r="B25" s="1">
        <v>1899</v>
      </c>
      <c r="C25" s="1" t="s">
        <v>22</v>
      </c>
      <c r="D25" s="1">
        <v>21</v>
      </c>
      <c r="E25" s="5">
        <v>29.93</v>
      </c>
      <c r="F25" s="6">
        <v>29.95</v>
      </c>
      <c r="G25" s="1">
        <v>42.5</v>
      </c>
      <c r="H25" s="1">
        <v>43.5</v>
      </c>
      <c r="I25" s="1">
        <v>42.5</v>
      </c>
      <c r="J25" s="6">
        <v>48.7</v>
      </c>
      <c r="K25" s="1">
        <v>1.1000000000000001</v>
      </c>
      <c r="L25" s="6">
        <v>4</v>
      </c>
      <c r="M25" s="5">
        <v>0.248</v>
      </c>
      <c r="N25" s="6">
        <v>0.20100000000000001</v>
      </c>
      <c r="O25" s="1">
        <v>91</v>
      </c>
      <c r="P25" s="6">
        <v>72</v>
      </c>
      <c r="Q25" s="1" t="s">
        <v>31</v>
      </c>
      <c r="R25" s="1">
        <v>5</v>
      </c>
      <c r="S25" s="1" t="s">
        <v>31</v>
      </c>
      <c r="T25" s="6">
        <v>4</v>
      </c>
      <c r="U25" s="1">
        <v>4</v>
      </c>
      <c r="V25" s="1">
        <v>0</v>
      </c>
      <c r="W25" s="9">
        <v>0.01</v>
      </c>
    </row>
    <row r="26" spans="1:23" s="1" customFormat="1" x14ac:dyDescent="0.2">
      <c r="A26" s="5" t="s">
        <v>70</v>
      </c>
      <c r="B26" s="1">
        <v>1899</v>
      </c>
      <c r="C26" s="1" t="s">
        <v>22</v>
      </c>
      <c r="D26" s="1">
        <v>22</v>
      </c>
      <c r="E26" s="5">
        <v>29.91</v>
      </c>
      <c r="F26" s="6">
        <v>29.98</v>
      </c>
      <c r="G26" s="1">
        <v>38.5</v>
      </c>
      <c r="H26" s="1">
        <v>37.299999999999997</v>
      </c>
      <c r="I26" s="1">
        <v>36.200000000000003</v>
      </c>
      <c r="J26" s="6">
        <v>47.2</v>
      </c>
      <c r="K26" s="1">
        <v>2</v>
      </c>
      <c r="L26" s="6">
        <v>0.2</v>
      </c>
      <c r="M26" s="5">
        <v>0.19400000000000001</v>
      </c>
      <c r="N26" s="6">
        <v>0.218</v>
      </c>
      <c r="O26" s="1">
        <v>84</v>
      </c>
      <c r="P26" s="6">
        <v>98</v>
      </c>
      <c r="Q26" s="1" t="s">
        <v>31</v>
      </c>
      <c r="R26" s="1">
        <v>5</v>
      </c>
      <c r="S26" s="1" t="s">
        <v>31</v>
      </c>
      <c r="T26" s="6">
        <v>4</v>
      </c>
      <c r="U26" s="1">
        <v>8</v>
      </c>
      <c r="V26" s="1">
        <v>5</v>
      </c>
      <c r="W26" s="9" t="s">
        <v>25</v>
      </c>
    </row>
    <row r="27" spans="1:23" s="1" customFormat="1" x14ac:dyDescent="0.2">
      <c r="A27" s="5" t="s">
        <v>70</v>
      </c>
      <c r="B27" s="1">
        <v>1899</v>
      </c>
      <c r="C27" s="1" t="s">
        <v>22</v>
      </c>
      <c r="D27" s="1">
        <v>23</v>
      </c>
      <c r="E27" s="5">
        <v>29.95</v>
      </c>
      <c r="F27" s="6">
        <v>30</v>
      </c>
      <c r="G27" s="1">
        <v>39.299999999999997</v>
      </c>
      <c r="H27" s="1">
        <v>44.5</v>
      </c>
      <c r="I27" s="1">
        <v>37.200000000000003</v>
      </c>
      <c r="J27" s="6">
        <v>48.2</v>
      </c>
      <c r="K27" s="1">
        <v>2.6</v>
      </c>
      <c r="L27" s="6">
        <v>1.2</v>
      </c>
      <c r="M27" s="5">
        <v>0.191</v>
      </c>
      <c r="N27" s="6">
        <v>0.26600000000000001</v>
      </c>
      <c r="O27" s="1">
        <v>80</v>
      </c>
      <c r="P27" s="6">
        <v>90</v>
      </c>
      <c r="Q27" s="1" t="s">
        <v>31</v>
      </c>
      <c r="R27" s="1">
        <v>3</v>
      </c>
      <c r="S27" s="1" t="s">
        <v>31</v>
      </c>
      <c r="T27" s="6">
        <v>2</v>
      </c>
      <c r="U27" s="1">
        <v>9</v>
      </c>
      <c r="V27" s="1">
        <v>8</v>
      </c>
      <c r="W27" s="9" t="s">
        <v>25</v>
      </c>
    </row>
    <row r="28" spans="1:23" s="1" customFormat="1" x14ac:dyDescent="0.2">
      <c r="A28" s="5" t="s">
        <v>70</v>
      </c>
      <c r="B28" s="1">
        <v>1899</v>
      </c>
      <c r="C28" s="1" t="s">
        <v>22</v>
      </c>
      <c r="D28" s="1">
        <v>24</v>
      </c>
      <c r="E28" s="5">
        <v>30.03</v>
      </c>
      <c r="F28" s="6">
        <v>29.97</v>
      </c>
      <c r="G28" s="1">
        <v>42.5</v>
      </c>
      <c r="H28" s="1">
        <v>44.5</v>
      </c>
      <c r="I28" s="1">
        <v>42.1</v>
      </c>
      <c r="J28" s="6">
        <v>48.6</v>
      </c>
      <c r="K28" s="1">
        <v>2</v>
      </c>
      <c r="L28" s="6">
        <v>1.5</v>
      </c>
      <c r="M28" s="5">
        <v>0.23</v>
      </c>
      <c r="N28" s="6">
        <v>0.25900000000000001</v>
      </c>
      <c r="O28" s="1">
        <v>85</v>
      </c>
      <c r="P28" s="6">
        <v>88</v>
      </c>
      <c r="Q28" s="1" t="s">
        <v>43</v>
      </c>
      <c r="R28" s="1">
        <v>2</v>
      </c>
      <c r="S28" s="1" t="s">
        <v>33</v>
      </c>
      <c r="T28" s="6">
        <v>2</v>
      </c>
      <c r="U28" s="1">
        <v>10</v>
      </c>
      <c r="V28" s="1">
        <v>9</v>
      </c>
      <c r="W28" s="9" t="s">
        <v>25</v>
      </c>
    </row>
    <row r="29" spans="1:23" s="1" customFormat="1" x14ac:dyDescent="0.2">
      <c r="A29" s="5" t="s">
        <v>70</v>
      </c>
      <c r="B29" s="1">
        <v>1899</v>
      </c>
      <c r="C29" s="1" t="s">
        <v>22</v>
      </c>
      <c r="D29" s="1">
        <v>25</v>
      </c>
      <c r="E29" s="5">
        <v>30.01</v>
      </c>
      <c r="F29" s="6">
        <v>30.06</v>
      </c>
      <c r="G29" s="1">
        <v>40.700000000000003</v>
      </c>
      <c r="H29" s="1">
        <v>39.299999999999997</v>
      </c>
      <c r="I29" s="1">
        <v>37.200000000000003</v>
      </c>
      <c r="J29" s="6">
        <v>49.2</v>
      </c>
      <c r="K29" s="1">
        <v>2.9</v>
      </c>
      <c r="L29" s="6">
        <v>2.9</v>
      </c>
      <c r="M29" s="5">
        <v>0.19700000000000001</v>
      </c>
      <c r="N29" s="6">
        <v>0.185</v>
      </c>
      <c r="O29" s="1">
        <v>78</v>
      </c>
      <c r="P29" s="6">
        <v>78</v>
      </c>
      <c r="Q29" s="1" t="s">
        <v>43</v>
      </c>
      <c r="R29" s="1">
        <v>4</v>
      </c>
      <c r="S29" s="1" t="s">
        <v>33</v>
      </c>
      <c r="T29" s="6">
        <v>3</v>
      </c>
      <c r="U29" s="1">
        <v>1</v>
      </c>
      <c r="V29" s="1">
        <v>2</v>
      </c>
      <c r="W29" s="9" t="s">
        <v>25</v>
      </c>
    </row>
    <row r="30" spans="1:23" s="1" customFormat="1" x14ac:dyDescent="0.2">
      <c r="A30" s="5" t="s">
        <v>70</v>
      </c>
      <c r="B30" s="1">
        <v>1899</v>
      </c>
      <c r="C30" s="1" t="s">
        <v>22</v>
      </c>
      <c r="D30" s="1">
        <v>26</v>
      </c>
      <c r="E30" s="5">
        <v>30.08</v>
      </c>
      <c r="F30" s="6">
        <v>30.13</v>
      </c>
      <c r="G30" s="1">
        <v>34.799999999999997</v>
      </c>
      <c r="H30" s="1">
        <v>41.7</v>
      </c>
      <c r="I30" s="1">
        <v>32.4</v>
      </c>
      <c r="J30" s="6">
        <v>44.2</v>
      </c>
      <c r="K30" s="1">
        <v>1.3</v>
      </c>
      <c r="L30" s="6">
        <v>2.2999999999999998</v>
      </c>
      <c r="M30" s="5">
        <v>0.17599999999999999</v>
      </c>
      <c r="N30" s="6">
        <v>0.217</v>
      </c>
      <c r="O30" s="1">
        <v>88</v>
      </c>
      <c r="P30" s="6">
        <v>83</v>
      </c>
      <c r="Q30" s="1" t="s">
        <v>33</v>
      </c>
      <c r="R30" s="1">
        <v>3</v>
      </c>
      <c r="S30" s="1" t="s">
        <v>31</v>
      </c>
      <c r="T30" s="6">
        <v>2</v>
      </c>
      <c r="U30" s="1">
        <v>5</v>
      </c>
      <c r="V30" s="1">
        <v>4</v>
      </c>
      <c r="W30" s="9" t="s">
        <v>25</v>
      </c>
    </row>
    <row r="31" spans="1:23" s="1" customFormat="1" x14ac:dyDescent="0.2">
      <c r="A31" s="5" t="s">
        <v>70</v>
      </c>
      <c r="B31" s="1">
        <v>1899</v>
      </c>
      <c r="C31" s="1" t="s">
        <v>22</v>
      </c>
      <c r="D31" s="1">
        <v>27</v>
      </c>
      <c r="E31" s="5">
        <v>30.22</v>
      </c>
      <c r="F31" s="6">
        <v>30.34</v>
      </c>
      <c r="G31" s="1">
        <v>35.799999999999997</v>
      </c>
      <c r="H31" s="1">
        <v>38.5</v>
      </c>
      <c r="I31" s="1">
        <v>33.200000000000003</v>
      </c>
      <c r="J31" s="6">
        <v>47.2</v>
      </c>
      <c r="K31" s="1">
        <v>2.4</v>
      </c>
      <c r="L31" s="6">
        <v>0.8</v>
      </c>
      <c r="M31" s="5">
        <v>0.16600000000000001</v>
      </c>
      <c r="N31" s="6">
        <v>0.217</v>
      </c>
      <c r="O31" s="1">
        <v>79</v>
      </c>
      <c r="P31" s="6">
        <v>93</v>
      </c>
      <c r="Q31" s="1" t="s">
        <v>33</v>
      </c>
      <c r="R31" s="1">
        <v>2</v>
      </c>
      <c r="S31" s="1" t="s">
        <v>36</v>
      </c>
      <c r="T31" s="6">
        <v>0</v>
      </c>
      <c r="U31" s="1">
        <v>6</v>
      </c>
      <c r="V31" s="1">
        <v>1</v>
      </c>
      <c r="W31" s="9" t="s">
        <v>25</v>
      </c>
    </row>
    <row r="32" spans="1:23" s="1" customFormat="1" x14ac:dyDescent="0.2">
      <c r="A32" s="5" t="s">
        <v>70</v>
      </c>
      <c r="B32" s="1">
        <v>1899</v>
      </c>
      <c r="C32" s="1" t="s">
        <v>22</v>
      </c>
      <c r="D32" s="1">
        <v>28</v>
      </c>
      <c r="E32" s="5">
        <v>30.43</v>
      </c>
      <c r="F32" s="6">
        <v>30.47</v>
      </c>
      <c r="G32" s="1">
        <v>41.9</v>
      </c>
      <c r="H32" s="1">
        <v>40.6</v>
      </c>
      <c r="I32" s="1">
        <v>36.4</v>
      </c>
      <c r="J32" s="6">
        <v>50.2</v>
      </c>
      <c r="K32" s="1">
        <v>1.5</v>
      </c>
      <c r="L32" s="6">
        <v>1.1000000000000001</v>
      </c>
      <c r="M32" s="5">
        <v>0.23499999999999999</v>
      </c>
      <c r="N32" s="6">
        <v>0.23</v>
      </c>
      <c r="O32" s="1">
        <v>89</v>
      </c>
      <c r="P32" s="6">
        <v>91</v>
      </c>
      <c r="Q32" s="1" t="s">
        <v>32</v>
      </c>
      <c r="R32" s="1">
        <v>2</v>
      </c>
      <c r="S32" s="1" t="s">
        <v>35</v>
      </c>
      <c r="T32" s="6">
        <v>2</v>
      </c>
      <c r="U32" s="1">
        <v>0</v>
      </c>
      <c r="V32" s="1">
        <v>0</v>
      </c>
      <c r="W32" s="9" t="s">
        <v>25</v>
      </c>
    </row>
    <row r="33" spans="1:23" s="1" customFormat="1" x14ac:dyDescent="0.2">
      <c r="A33" s="10"/>
      <c r="B33" s="11"/>
      <c r="C33" s="11"/>
      <c r="D33" s="12" t="s">
        <v>45</v>
      </c>
      <c r="E33" s="11">
        <v>29.539000000000001</v>
      </c>
      <c r="F33" s="12">
        <v>20.565000000000001</v>
      </c>
      <c r="G33" s="10">
        <v>42.3</v>
      </c>
      <c r="H33" s="11">
        <v>42.7</v>
      </c>
      <c r="I33" s="11">
        <v>39.1</v>
      </c>
      <c r="J33" s="12">
        <v>47.7</v>
      </c>
      <c r="K33" s="10">
        <v>1.1000000000000001</v>
      </c>
      <c r="L33" s="12">
        <v>0.8</v>
      </c>
      <c r="M33" s="11">
        <v>0.251</v>
      </c>
      <c r="N33" s="11">
        <v>0.26</v>
      </c>
      <c r="O33" s="10">
        <v>90.7</v>
      </c>
      <c r="P33" s="12">
        <v>93.4</v>
      </c>
      <c r="Q33" s="10" t="s">
        <v>25</v>
      </c>
      <c r="R33" s="11">
        <v>3.9</v>
      </c>
      <c r="S33" s="11" t="s">
        <v>25</v>
      </c>
      <c r="T33" s="12">
        <v>3.8</v>
      </c>
      <c r="U33" s="10">
        <v>7.2</v>
      </c>
      <c r="V33" s="12">
        <v>5.4</v>
      </c>
      <c r="W33" s="13">
        <v>2.8039999999999998</v>
      </c>
    </row>
  </sheetData>
  <mergeCells count="8">
    <mergeCell ref="K3:L3"/>
    <mergeCell ref="M3:N3"/>
    <mergeCell ref="O3:P3"/>
    <mergeCell ref="E2:F2"/>
    <mergeCell ref="G2:J2"/>
    <mergeCell ref="K2:P2"/>
    <mergeCell ref="Q2:T2"/>
    <mergeCell ref="U2:V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F272-B8A4-46FC-A472-771D73413392}">
  <dimension ref="A2:W34"/>
  <sheetViews>
    <sheetView topLeftCell="K15" workbookViewId="0">
      <selection activeCell="A34" sqref="A34"/>
    </sheetView>
  </sheetViews>
  <sheetFormatPr baseColWidth="10" defaultColWidth="8.83203125" defaultRowHeight="15" x14ac:dyDescent="0.2"/>
  <cols>
    <col min="1" max="1" width="14" customWidth="1"/>
  </cols>
  <sheetData>
    <row r="2" spans="1:23" s="2" customFormat="1" ht="32" x14ac:dyDescent="0.2">
      <c r="A2" s="14"/>
      <c r="B2" s="15"/>
      <c r="C2" s="15"/>
      <c r="D2" s="15"/>
      <c r="E2" s="31" t="s">
        <v>0</v>
      </c>
      <c r="F2" s="32"/>
      <c r="G2" s="33" t="s">
        <v>1</v>
      </c>
      <c r="H2" s="33"/>
      <c r="I2" s="33"/>
      <c r="J2" s="34"/>
      <c r="K2" s="29" t="s">
        <v>2</v>
      </c>
      <c r="L2" s="33"/>
      <c r="M2" s="33"/>
      <c r="N2" s="33"/>
      <c r="O2" s="33"/>
      <c r="P2" s="34"/>
      <c r="Q2" s="33" t="s">
        <v>3</v>
      </c>
      <c r="R2" s="33"/>
      <c r="S2" s="33"/>
      <c r="T2" s="34"/>
      <c r="U2" s="29" t="s">
        <v>4</v>
      </c>
      <c r="V2" s="30"/>
      <c r="W2" s="7" t="s">
        <v>5</v>
      </c>
    </row>
    <row r="3" spans="1:23" s="2" customFormat="1" x14ac:dyDescent="0.2">
      <c r="A3" s="3"/>
      <c r="E3" s="16"/>
      <c r="F3" s="17"/>
      <c r="J3" s="4"/>
      <c r="K3" s="35" t="s">
        <v>6</v>
      </c>
      <c r="L3" s="36"/>
      <c r="M3" s="35" t="s">
        <v>7</v>
      </c>
      <c r="N3" s="36"/>
      <c r="O3" s="37" t="s">
        <v>8</v>
      </c>
      <c r="P3" s="38"/>
      <c r="T3" s="4"/>
      <c r="V3" s="1"/>
      <c r="W3" s="18"/>
    </row>
    <row r="4" spans="1:23" s="2" customFormat="1" x14ac:dyDescent="0.2">
      <c r="A4" s="3" t="s">
        <v>9</v>
      </c>
      <c r="B4" s="2" t="s">
        <v>10</v>
      </c>
      <c r="C4" s="2" t="s">
        <v>11</v>
      </c>
      <c r="D4" s="2" t="s">
        <v>12</v>
      </c>
      <c r="E4" s="3" t="s">
        <v>13</v>
      </c>
      <c r="F4" s="4" t="s">
        <v>14</v>
      </c>
      <c r="G4" s="2" t="s">
        <v>13</v>
      </c>
      <c r="H4" s="2" t="s">
        <v>14</v>
      </c>
      <c r="I4" s="2" t="s">
        <v>15</v>
      </c>
      <c r="J4" s="4" t="s">
        <v>16</v>
      </c>
      <c r="K4" s="2" t="s">
        <v>13</v>
      </c>
      <c r="L4" s="4" t="s">
        <v>14</v>
      </c>
      <c r="M4" s="3" t="s">
        <v>13</v>
      </c>
      <c r="N4" s="4" t="s">
        <v>14</v>
      </c>
      <c r="O4" s="2" t="s">
        <v>13</v>
      </c>
      <c r="P4" s="4" t="s">
        <v>14</v>
      </c>
      <c r="Q4" s="2" t="s">
        <v>17</v>
      </c>
      <c r="R4" s="2" t="s">
        <v>18</v>
      </c>
      <c r="S4" s="2" t="s">
        <v>19</v>
      </c>
      <c r="T4" s="4" t="s">
        <v>20</v>
      </c>
      <c r="U4" s="2" t="s">
        <v>13</v>
      </c>
      <c r="V4" s="2" t="s">
        <v>14</v>
      </c>
      <c r="W4" s="8" t="s">
        <v>13</v>
      </c>
    </row>
    <row r="5" spans="1:23" s="1" customFormat="1" x14ac:dyDescent="0.2">
      <c r="A5" s="5" t="s">
        <v>71</v>
      </c>
      <c r="B5" s="1">
        <v>1899</v>
      </c>
      <c r="C5" s="1" t="s">
        <v>22</v>
      </c>
      <c r="D5" s="1">
        <v>1</v>
      </c>
      <c r="E5" s="5">
        <v>28.89</v>
      </c>
      <c r="F5" s="6">
        <v>28.92</v>
      </c>
      <c r="G5" s="1">
        <v>35.1</v>
      </c>
      <c r="H5" s="1">
        <v>29.1</v>
      </c>
      <c r="I5" s="1">
        <v>28.4</v>
      </c>
      <c r="J5" s="6">
        <v>36.799999999999997</v>
      </c>
      <c r="K5" s="1">
        <v>1.3</v>
      </c>
      <c r="L5" s="6">
        <v>0.2</v>
      </c>
      <c r="M5" s="5">
        <v>0.17899999999999999</v>
      </c>
      <c r="N5" s="6">
        <v>0.154</v>
      </c>
      <c r="O5" s="1">
        <v>87</v>
      </c>
      <c r="P5" s="6">
        <v>96</v>
      </c>
      <c r="Q5" s="1" t="s">
        <v>36</v>
      </c>
      <c r="R5" s="1">
        <v>0</v>
      </c>
      <c r="S5" s="1" t="s">
        <v>29</v>
      </c>
      <c r="T5" s="6">
        <v>1</v>
      </c>
      <c r="U5" s="1">
        <v>10</v>
      </c>
      <c r="V5" s="1">
        <v>0</v>
      </c>
      <c r="W5" s="9" t="s">
        <v>25</v>
      </c>
    </row>
    <row r="6" spans="1:23" s="1" customFormat="1" x14ac:dyDescent="0.2">
      <c r="A6" s="5" t="s">
        <v>71</v>
      </c>
      <c r="B6" s="1">
        <v>1899</v>
      </c>
      <c r="C6" s="1" t="s">
        <v>22</v>
      </c>
      <c r="D6" s="1">
        <v>2</v>
      </c>
      <c r="E6" s="5">
        <v>28.96</v>
      </c>
      <c r="F6" s="6">
        <v>29.16</v>
      </c>
      <c r="G6" s="1">
        <v>28.1</v>
      </c>
      <c r="H6" s="1">
        <v>26.1</v>
      </c>
      <c r="I6" s="1">
        <v>21.5</v>
      </c>
      <c r="J6" s="6">
        <v>36</v>
      </c>
      <c r="K6" s="1">
        <v>0.2</v>
      </c>
      <c r="L6" s="6">
        <v>0.2</v>
      </c>
      <c r="M6" s="5">
        <v>0.14799999999999999</v>
      </c>
      <c r="N6" s="6">
        <v>0.13400000000000001</v>
      </c>
      <c r="O6" s="1">
        <v>96</v>
      </c>
      <c r="P6" s="6">
        <v>95</v>
      </c>
      <c r="Q6" s="1" t="s">
        <v>23</v>
      </c>
      <c r="R6" s="1">
        <v>1</v>
      </c>
      <c r="S6" s="1" t="s">
        <v>29</v>
      </c>
      <c r="T6" s="6">
        <v>1</v>
      </c>
      <c r="U6" s="1">
        <v>9</v>
      </c>
      <c r="V6" s="1">
        <v>0</v>
      </c>
      <c r="W6" s="9" t="s">
        <v>25</v>
      </c>
    </row>
    <row r="7" spans="1:23" s="1" customFormat="1" x14ac:dyDescent="0.2">
      <c r="A7" s="5" t="s">
        <v>71</v>
      </c>
      <c r="B7" s="1">
        <v>1899</v>
      </c>
      <c r="C7" s="1" t="s">
        <v>22</v>
      </c>
      <c r="D7" s="1">
        <v>3</v>
      </c>
      <c r="E7" s="5">
        <v>29.27</v>
      </c>
      <c r="F7" s="6">
        <v>29.34</v>
      </c>
      <c r="G7" s="1">
        <v>23.9</v>
      </c>
      <c r="H7" s="1">
        <v>25.1</v>
      </c>
      <c r="I7" s="1">
        <v>19.899999999999999</v>
      </c>
      <c r="J7" s="6">
        <v>39.9</v>
      </c>
      <c r="K7" s="1">
        <v>0.4</v>
      </c>
      <c r="L7" s="6">
        <v>0.4</v>
      </c>
      <c r="M7" s="5">
        <v>0.113</v>
      </c>
      <c r="N7" s="6">
        <v>0.12</v>
      </c>
      <c r="O7" s="1">
        <v>88</v>
      </c>
      <c r="P7" s="6">
        <v>89</v>
      </c>
      <c r="Q7" s="1" t="s">
        <v>43</v>
      </c>
      <c r="R7" s="1">
        <v>1</v>
      </c>
      <c r="S7" s="1" t="s">
        <v>36</v>
      </c>
      <c r="T7" s="6">
        <v>0</v>
      </c>
      <c r="U7" s="1">
        <v>0</v>
      </c>
      <c r="V7" s="1">
        <v>0</v>
      </c>
      <c r="W7" s="9" t="s">
        <v>25</v>
      </c>
    </row>
    <row r="8" spans="1:23" s="1" customFormat="1" x14ac:dyDescent="0.2">
      <c r="A8" s="5" t="s">
        <v>71</v>
      </c>
      <c r="B8" s="1">
        <v>1899</v>
      </c>
      <c r="C8" s="1" t="s">
        <v>22</v>
      </c>
      <c r="D8" s="1">
        <v>4</v>
      </c>
      <c r="E8" s="5">
        <v>29.27</v>
      </c>
      <c r="F8" s="6">
        <v>29.1</v>
      </c>
      <c r="G8" s="1">
        <v>28.9</v>
      </c>
      <c r="H8" s="1">
        <v>31.9</v>
      </c>
      <c r="I8" s="1">
        <v>22</v>
      </c>
      <c r="J8" s="6">
        <v>34.5</v>
      </c>
      <c r="K8" s="1">
        <v>0.6</v>
      </c>
      <c r="L8" s="6">
        <v>1</v>
      </c>
      <c r="M8" s="5">
        <v>0.14199999999999999</v>
      </c>
      <c r="N8" s="6">
        <v>0.157</v>
      </c>
      <c r="O8" s="1">
        <v>89</v>
      </c>
      <c r="P8" s="6">
        <v>87</v>
      </c>
      <c r="Q8" s="1" t="s">
        <v>43</v>
      </c>
      <c r="R8" s="1">
        <v>2</v>
      </c>
      <c r="S8" s="1" t="s">
        <v>43</v>
      </c>
      <c r="T8" s="6">
        <v>1</v>
      </c>
      <c r="U8" s="1">
        <v>8</v>
      </c>
      <c r="V8" s="1">
        <v>10</v>
      </c>
      <c r="W8" s="9" t="s">
        <v>25</v>
      </c>
    </row>
    <row r="9" spans="1:23" s="1" customFormat="1" x14ac:dyDescent="0.2">
      <c r="A9" s="5" t="s">
        <v>71</v>
      </c>
      <c r="B9" s="1">
        <v>1899</v>
      </c>
      <c r="C9" s="1" t="s">
        <v>22</v>
      </c>
      <c r="D9" s="1">
        <v>5</v>
      </c>
      <c r="E9" s="5">
        <v>28.97</v>
      </c>
      <c r="F9" s="6">
        <v>29.16</v>
      </c>
      <c r="G9" s="1">
        <v>32.9</v>
      </c>
      <c r="H9" s="1">
        <v>33.4</v>
      </c>
      <c r="I9" s="1">
        <v>31.6</v>
      </c>
      <c r="J9" s="6">
        <v>34.9</v>
      </c>
      <c r="K9" s="1">
        <v>0.6</v>
      </c>
      <c r="L9" s="6">
        <v>0.5</v>
      </c>
      <c r="M9" s="5">
        <v>0.17399999999999999</v>
      </c>
      <c r="N9" s="6">
        <v>0.18</v>
      </c>
      <c r="O9" s="1">
        <v>92</v>
      </c>
      <c r="P9" s="6">
        <v>93</v>
      </c>
      <c r="Q9" s="1" t="s">
        <v>36</v>
      </c>
      <c r="R9" s="1">
        <v>0</v>
      </c>
      <c r="S9" s="1" t="s">
        <v>33</v>
      </c>
      <c r="T9" s="6">
        <v>2</v>
      </c>
      <c r="U9" s="1">
        <v>10</v>
      </c>
      <c r="V9" s="1">
        <v>10</v>
      </c>
      <c r="W9" s="9">
        <v>0.27500000000000002</v>
      </c>
    </row>
    <row r="10" spans="1:23" s="1" customFormat="1" x14ac:dyDescent="0.2">
      <c r="A10" s="5" t="s">
        <v>71</v>
      </c>
      <c r="B10" s="1">
        <v>1899</v>
      </c>
      <c r="C10" s="1" t="s">
        <v>22</v>
      </c>
      <c r="D10" s="1">
        <v>6</v>
      </c>
      <c r="E10" s="5">
        <v>29.15</v>
      </c>
      <c r="F10" s="6">
        <v>29.03</v>
      </c>
      <c r="G10" s="1">
        <v>33.4</v>
      </c>
      <c r="H10" s="1">
        <v>33.1</v>
      </c>
      <c r="I10" s="1">
        <v>32.9</v>
      </c>
      <c r="J10" s="6">
        <v>35.799999999999997</v>
      </c>
      <c r="K10" s="1">
        <v>0.5</v>
      </c>
      <c r="L10" s="6">
        <v>0.2</v>
      </c>
      <c r="M10" s="5">
        <v>0.18</v>
      </c>
      <c r="N10" s="6">
        <v>0.184</v>
      </c>
      <c r="O10" s="1">
        <v>93</v>
      </c>
      <c r="P10" s="6">
        <v>97</v>
      </c>
      <c r="Q10" s="1" t="s">
        <v>33</v>
      </c>
      <c r="R10" s="1">
        <v>2</v>
      </c>
      <c r="S10" s="1" t="s">
        <v>43</v>
      </c>
      <c r="T10" s="6">
        <v>2</v>
      </c>
      <c r="U10" s="1">
        <v>10</v>
      </c>
      <c r="V10" s="1">
        <v>10</v>
      </c>
      <c r="W10" s="9">
        <v>0.13</v>
      </c>
    </row>
    <row r="11" spans="1:23" s="1" customFormat="1" x14ac:dyDescent="0.2">
      <c r="A11" s="5" t="s">
        <v>71</v>
      </c>
      <c r="B11" s="1">
        <v>1899</v>
      </c>
      <c r="C11" s="1" t="s">
        <v>22</v>
      </c>
      <c r="D11" s="1">
        <v>7</v>
      </c>
      <c r="E11" s="5">
        <v>28.77</v>
      </c>
      <c r="F11" s="6">
        <v>28.75</v>
      </c>
      <c r="G11" s="1">
        <v>40.299999999999997</v>
      </c>
      <c r="H11" s="1">
        <v>43.3</v>
      </c>
      <c r="I11" s="1">
        <v>32.9</v>
      </c>
      <c r="J11" s="6">
        <v>49.6</v>
      </c>
      <c r="K11" s="1">
        <v>1.2</v>
      </c>
      <c r="L11" s="6">
        <v>0.4</v>
      </c>
      <c r="M11" s="5">
        <v>0.22500000000000001</v>
      </c>
      <c r="N11" s="6">
        <v>0.27100000000000002</v>
      </c>
      <c r="O11" s="1">
        <v>90</v>
      </c>
      <c r="P11" s="6">
        <v>97</v>
      </c>
      <c r="Q11" s="1" t="s">
        <v>32</v>
      </c>
      <c r="R11" s="1">
        <v>2</v>
      </c>
      <c r="S11" s="1" t="s">
        <v>35</v>
      </c>
      <c r="T11" s="6">
        <v>1</v>
      </c>
      <c r="U11" s="1">
        <v>8</v>
      </c>
      <c r="V11" s="1">
        <v>10</v>
      </c>
      <c r="W11" s="9">
        <v>0.57399999999999995</v>
      </c>
    </row>
    <row r="12" spans="1:23" s="1" customFormat="1" x14ac:dyDescent="0.2">
      <c r="A12" s="5" t="s">
        <v>71</v>
      </c>
      <c r="B12" s="1">
        <v>1899</v>
      </c>
      <c r="C12" s="1" t="s">
        <v>22</v>
      </c>
      <c r="D12" s="1">
        <v>8</v>
      </c>
      <c r="E12" s="5">
        <v>28.73</v>
      </c>
      <c r="F12" s="6">
        <v>28.59</v>
      </c>
      <c r="G12" s="1">
        <v>45.8</v>
      </c>
      <c r="H12" s="1">
        <v>45</v>
      </c>
      <c r="I12" s="1">
        <v>43.3</v>
      </c>
      <c r="J12" s="6">
        <v>51.1</v>
      </c>
      <c r="K12" s="1">
        <v>1.7</v>
      </c>
      <c r="L12" s="6">
        <v>1.1000000000000001</v>
      </c>
      <c r="M12" s="5">
        <v>0.26900000000000002</v>
      </c>
      <c r="N12" s="6">
        <v>0.27300000000000002</v>
      </c>
      <c r="O12" s="1">
        <v>87</v>
      </c>
      <c r="P12" s="6">
        <v>91</v>
      </c>
      <c r="Q12" s="1" t="s">
        <v>39</v>
      </c>
      <c r="R12" s="1">
        <v>2</v>
      </c>
      <c r="S12" s="1" t="s">
        <v>35</v>
      </c>
      <c r="T12" s="6">
        <v>4</v>
      </c>
      <c r="U12" s="1">
        <v>9</v>
      </c>
      <c r="V12" s="1">
        <v>0</v>
      </c>
      <c r="W12" s="9">
        <v>0.34</v>
      </c>
    </row>
    <row r="13" spans="1:23" s="1" customFormat="1" x14ac:dyDescent="0.2">
      <c r="A13" s="5" t="s">
        <v>71</v>
      </c>
      <c r="B13" s="1">
        <v>1899</v>
      </c>
      <c r="C13" s="1" t="s">
        <v>22</v>
      </c>
      <c r="D13" s="1">
        <v>9</v>
      </c>
      <c r="E13" s="5">
        <v>28.77</v>
      </c>
      <c r="F13" s="6">
        <v>28.68</v>
      </c>
      <c r="G13" s="1">
        <v>47.7</v>
      </c>
      <c r="H13" s="1">
        <v>51.9</v>
      </c>
      <c r="I13" s="1">
        <v>43.9</v>
      </c>
      <c r="J13" s="6">
        <v>54</v>
      </c>
      <c r="K13" s="1">
        <v>2</v>
      </c>
      <c r="L13" s="6">
        <v>0.9</v>
      </c>
      <c r="M13" s="5">
        <v>0.28299999999999997</v>
      </c>
      <c r="N13" s="6">
        <v>0.36199999999999999</v>
      </c>
      <c r="O13" s="1">
        <v>85</v>
      </c>
      <c r="P13" s="6">
        <v>94</v>
      </c>
      <c r="Q13" s="1" t="s">
        <v>39</v>
      </c>
      <c r="R13" s="1">
        <v>3</v>
      </c>
      <c r="S13" s="1" t="s">
        <v>35</v>
      </c>
      <c r="T13" s="6">
        <v>4</v>
      </c>
      <c r="U13" s="1">
        <v>10</v>
      </c>
      <c r="V13" s="1">
        <v>10</v>
      </c>
      <c r="W13" s="9">
        <v>0.82499999999999996</v>
      </c>
    </row>
    <row r="14" spans="1:23" s="1" customFormat="1" x14ac:dyDescent="0.2">
      <c r="A14" s="5" t="s">
        <v>71</v>
      </c>
      <c r="B14" s="1">
        <v>1899</v>
      </c>
      <c r="C14" s="1" t="s">
        <v>22</v>
      </c>
      <c r="D14" s="1">
        <v>10</v>
      </c>
      <c r="E14" s="5">
        <v>28.81</v>
      </c>
      <c r="F14" s="6">
        <v>28.87</v>
      </c>
      <c r="G14" s="1">
        <v>55.1</v>
      </c>
      <c r="H14" s="1">
        <v>47.3</v>
      </c>
      <c r="I14" s="1">
        <v>47</v>
      </c>
      <c r="J14" s="6">
        <v>55.5</v>
      </c>
      <c r="K14" s="1">
        <v>3.7</v>
      </c>
      <c r="L14" s="6">
        <v>1.5</v>
      </c>
      <c r="M14" s="5">
        <v>0.33300000000000002</v>
      </c>
      <c r="N14" s="6">
        <v>0.28899999999999998</v>
      </c>
      <c r="O14" s="1">
        <v>76</v>
      </c>
      <c r="P14" s="6">
        <v>88</v>
      </c>
      <c r="Q14" s="1" t="s">
        <v>35</v>
      </c>
      <c r="R14" s="1">
        <v>6</v>
      </c>
      <c r="S14" s="1" t="s">
        <v>35</v>
      </c>
      <c r="T14" s="6">
        <v>3</v>
      </c>
      <c r="U14" s="1">
        <v>9</v>
      </c>
      <c r="V14" s="1">
        <v>8</v>
      </c>
      <c r="W14" s="9">
        <v>8.5000000000000006E-2</v>
      </c>
    </row>
    <row r="15" spans="1:23" s="1" customFormat="1" x14ac:dyDescent="0.2">
      <c r="A15" s="5" t="s">
        <v>71</v>
      </c>
      <c r="B15" s="1">
        <v>1899</v>
      </c>
      <c r="C15" s="1" t="s">
        <v>22</v>
      </c>
      <c r="D15" s="1">
        <v>11</v>
      </c>
      <c r="E15" s="5">
        <v>28.87</v>
      </c>
      <c r="F15" s="6">
        <v>28.52</v>
      </c>
      <c r="G15" s="1">
        <v>49.1</v>
      </c>
      <c r="H15" s="1">
        <v>45.8</v>
      </c>
      <c r="I15" s="1">
        <v>43.4</v>
      </c>
      <c r="J15" s="6">
        <v>54.3</v>
      </c>
      <c r="K15" s="1">
        <v>3.2</v>
      </c>
      <c r="L15" s="6">
        <v>1.6</v>
      </c>
      <c r="M15" s="5">
        <v>0.27200000000000002</v>
      </c>
      <c r="N15" s="6">
        <v>0.27100000000000002</v>
      </c>
      <c r="O15" s="1">
        <v>78</v>
      </c>
      <c r="P15" s="6">
        <v>88</v>
      </c>
      <c r="Q15" s="1" t="s">
        <v>35</v>
      </c>
      <c r="R15" s="1">
        <v>2</v>
      </c>
      <c r="S15" s="1" t="s">
        <v>35</v>
      </c>
      <c r="T15" s="6">
        <v>4</v>
      </c>
      <c r="U15" s="1">
        <v>8</v>
      </c>
      <c r="V15" s="1">
        <v>10</v>
      </c>
      <c r="W15" s="9">
        <v>0.46</v>
      </c>
    </row>
    <row r="16" spans="1:23" s="1" customFormat="1" x14ac:dyDescent="0.2">
      <c r="A16" s="5" t="s">
        <v>71</v>
      </c>
      <c r="B16" s="1">
        <v>1899</v>
      </c>
      <c r="C16" s="1" t="s">
        <v>22</v>
      </c>
      <c r="D16" s="1">
        <v>12</v>
      </c>
      <c r="E16" s="5">
        <v>28.41</v>
      </c>
      <c r="F16" s="6">
        <v>28.73</v>
      </c>
      <c r="G16" s="1">
        <v>40.299999999999997</v>
      </c>
      <c r="H16" s="1">
        <v>40.6</v>
      </c>
      <c r="I16" s="1">
        <v>38</v>
      </c>
      <c r="J16" s="6">
        <v>47.2</v>
      </c>
      <c r="K16" s="1">
        <v>0.4</v>
      </c>
      <c r="L16" s="6">
        <v>1.5</v>
      </c>
      <c r="M16" s="5">
        <v>0.24099999999999999</v>
      </c>
      <c r="N16" s="6">
        <v>0.222</v>
      </c>
      <c r="O16" s="1">
        <v>97</v>
      </c>
      <c r="P16" s="6">
        <v>88</v>
      </c>
      <c r="Q16" s="1" t="s">
        <v>39</v>
      </c>
      <c r="R16" s="1">
        <v>2</v>
      </c>
      <c r="S16" s="1" t="s">
        <v>42</v>
      </c>
      <c r="T16" s="6">
        <v>1</v>
      </c>
      <c r="U16" s="1">
        <v>6</v>
      </c>
      <c r="V16" s="1">
        <v>10</v>
      </c>
      <c r="W16" s="9">
        <v>0.45800000000000002</v>
      </c>
    </row>
    <row r="17" spans="1:23" s="1" customFormat="1" x14ac:dyDescent="0.2">
      <c r="A17" s="5" t="s">
        <v>71</v>
      </c>
      <c r="B17" s="1">
        <v>1899</v>
      </c>
      <c r="C17" s="1" t="s">
        <v>22</v>
      </c>
      <c r="D17" s="1">
        <v>13</v>
      </c>
      <c r="E17" s="5">
        <v>28.44</v>
      </c>
      <c r="F17" s="6">
        <v>28.48</v>
      </c>
      <c r="G17" s="1">
        <v>48.7</v>
      </c>
      <c r="H17" s="1">
        <v>40.6</v>
      </c>
      <c r="I17" s="1">
        <v>38.9</v>
      </c>
      <c r="J17" s="6">
        <v>49.3</v>
      </c>
      <c r="K17" s="1">
        <v>0.9</v>
      </c>
      <c r="L17" s="6">
        <v>1.2</v>
      </c>
      <c r="M17" s="5">
        <v>0.32100000000000001</v>
      </c>
      <c r="N17" s="6">
        <v>0.22700000000000001</v>
      </c>
      <c r="O17" s="1">
        <v>93</v>
      </c>
      <c r="P17" s="6">
        <v>90</v>
      </c>
      <c r="Q17" s="1" t="s">
        <v>35</v>
      </c>
      <c r="R17" s="1">
        <v>2</v>
      </c>
      <c r="S17" s="1" t="s">
        <v>35</v>
      </c>
      <c r="T17" s="6">
        <v>4</v>
      </c>
      <c r="U17" s="1">
        <v>8</v>
      </c>
      <c r="V17" s="1">
        <v>0</v>
      </c>
      <c r="W17" s="9">
        <v>0.73</v>
      </c>
    </row>
    <row r="18" spans="1:23" s="1" customFormat="1" x14ac:dyDescent="0.2">
      <c r="A18" s="5" t="s">
        <v>71</v>
      </c>
      <c r="B18" s="1">
        <v>1899</v>
      </c>
      <c r="C18" s="1" t="s">
        <v>22</v>
      </c>
      <c r="D18" s="1">
        <v>14</v>
      </c>
      <c r="E18" s="5">
        <v>28.8</v>
      </c>
      <c r="F18" s="6">
        <v>29</v>
      </c>
      <c r="G18" s="1">
        <v>42.8</v>
      </c>
      <c r="H18" s="1">
        <v>39.4</v>
      </c>
      <c r="I18" s="1">
        <v>36.4</v>
      </c>
      <c r="J18" s="6">
        <v>51.3</v>
      </c>
      <c r="K18" s="1">
        <v>2</v>
      </c>
      <c r="L18" s="6">
        <v>0.5</v>
      </c>
      <c r="M18" s="5">
        <v>0.23200000000000001</v>
      </c>
      <c r="N18" s="6">
        <v>0.23100000000000001</v>
      </c>
      <c r="O18" s="1">
        <v>84</v>
      </c>
      <c r="P18" s="6">
        <v>95</v>
      </c>
      <c r="Q18" s="1" t="s">
        <v>44</v>
      </c>
      <c r="R18" s="1">
        <v>5</v>
      </c>
      <c r="S18" s="1" t="s">
        <v>35</v>
      </c>
      <c r="T18" s="6">
        <v>1</v>
      </c>
      <c r="U18" s="1">
        <v>4</v>
      </c>
      <c r="V18" s="1">
        <v>5</v>
      </c>
      <c r="W18" s="9">
        <v>0.01</v>
      </c>
    </row>
    <row r="19" spans="1:23" s="1" customFormat="1" x14ac:dyDescent="0.2">
      <c r="A19" s="5" t="s">
        <v>71</v>
      </c>
      <c r="B19" s="1">
        <v>1899</v>
      </c>
      <c r="C19" s="1" t="s">
        <v>22</v>
      </c>
      <c r="D19" s="1">
        <v>15</v>
      </c>
      <c r="E19" s="5">
        <v>29.18</v>
      </c>
      <c r="F19" s="6">
        <v>29.18</v>
      </c>
      <c r="G19" s="1">
        <v>42.3</v>
      </c>
      <c r="H19" s="1">
        <v>38.6</v>
      </c>
      <c r="I19" s="1">
        <v>36.200000000000003</v>
      </c>
      <c r="J19" s="6">
        <v>48.9</v>
      </c>
      <c r="K19" s="1">
        <v>1</v>
      </c>
      <c r="L19" s="6">
        <v>0.3</v>
      </c>
      <c r="M19" s="5">
        <v>0.248</v>
      </c>
      <c r="N19" s="6">
        <v>0.22800000000000001</v>
      </c>
      <c r="O19" s="1">
        <v>92</v>
      </c>
      <c r="P19" s="6">
        <v>97</v>
      </c>
      <c r="Q19" s="1" t="s">
        <v>44</v>
      </c>
      <c r="R19" s="1">
        <v>2</v>
      </c>
      <c r="S19" s="1" t="s">
        <v>44</v>
      </c>
      <c r="T19" s="6">
        <v>2</v>
      </c>
      <c r="U19" s="1">
        <v>10</v>
      </c>
      <c r="V19" s="1">
        <v>5</v>
      </c>
      <c r="W19" s="9">
        <v>0.13</v>
      </c>
    </row>
    <row r="20" spans="1:23" s="1" customFormat="1" x14ac:dyDescent="0.2">
      <c r="A20" s="5" t="s">
        <v>71</v>
      </c>
      <c r="B20" s="1">
        <v>1899</v>
      </c>
      <c r="C20" s="1" t="s">
        <v>22</v>
      </c>
      <c r="D20" s="1">
        <v>16</v>
      </c>
      <c r="E20" s="5">
        <v>29.26</v>
      </c>
      <c r="F20" s="6">
        <v>29.34</v>
      </c>
      <c r="G20" s="1">
        <v>39.200000000000003</v>
      </c>
      <c r="H20" s="1">
        <v>40.799999999999997</v>
      </c>
      <c r="I20" s="1">
        <v>31.1</v>
      </c>
      <c r="J20" s="6">
        <v>49.1</v>
      </c>
      <c r="K20" s="1">
        <v>1.1000000000000001</v>
      </c>
      <c r="L20" s="6">
        <v>1.4</v>
      </c>
      <c r="M20" s="5">
        <v>0.218</v>
      </c>
      <c r="N20" s="6">
        <v>0.22500000000000001</v>
      </c>
      <c r="O20" s="1">
        <v>91</v>
      </c>
      <c r="P20" s="6">
        <v>88</v>
      </c>
      <c r="Q20" s="1" t="s">
        <v>35</v>
      </c>
      <c r="R20" s="1">
        <v>2</v>
      </c>
      <c r="S20" s="1" t="s">
        <v>43</v>
      </c>
      <c r="T20" s="6">
        <v>2</v>
      </c>
      <c r="U20" s="1">
        <v>8</v>
      </c>
      <c r="V20" s="1">
        <v>5</v>
      </c>
      <c r="W20" s="9" t="s">
        <v>25</v>
      </c>
    </row>
    <row r="21" spans="1:23" s="1" customFormat="1" x14ac:dyDescent="0.2">
      <c r="A21" s="5" t="s">
        <v>71</v>
      </c>
      <c r="B21" s="1">
        <v>1899</v>
      </c>
      <c r="C21" s="1" t="s">
        <v>22</v>
      </c>
      <c r="D21" s="1">
        <v>17</v>
      </c>
      <c r="E21" s="5">
        <v>29.36</v>
      </c>
      <c r="F21" s="6">
        <v>29.38</v>
      </c>
      <c r="G21" s="1">
        <v>40.700000000000003</v>
      </c>
      <c r="H21" s="1">
        <v>50.9</v>
      </c>
      <c r="I21" s="1">
        <v>36.1</v>
      </c>
      <c r="J21" s="6">
        <v>57</v>
      </c>
      <c r="K21" s="1">
        <v>0.6</v>
      </c>
      <c r="L21" s="6">
        <v>2</v>
      </c>
      <c r="M21" s="5">
        <v>0.24</v>
      </c>
      <c r="N21" s="6">
        <v>0.32100000000000001</v>
      </c>
      <c r="O21" s="1">
        <v>95</v>
      </c>
      <c r="P21" s="6">
        <v>86</v>
      </c>
      <c r="Q21" s="1" t="s">
        <v>43</v>
      </c>
      <c r="R21" s="1">
        <v>1</v>
      </c>
      <c r="S21" s="1" t="s">
        <v>36</v>
      </c>
      <c r="T21" s="6">
        <v>0</v>
      </c>
      <c r="U21" s="1">
        <v>9</v>
      </c>
      <c r="V21" s="1">
        <v>10</v>
      </c>
      <c r="W21" s="9" t="s">
        <v>25</v>
      </c>
    </row>
    <row r="22" spans="1:23" s="1" customFormat="1" x14ac:dyDescent="0.2">
      <c r="A22" s="5" t="s">
        <v>71</v>
      </c>
      <c r="B22" s="1">
        <v>1899</v>
      </c>
      <c r="C22" s="1" t="s">
        <v>22</v>
      </c>
      <c r="D22" s="1">
        <v>18</v>
      </c>
      <c r="E22" s="5">
        <v>29.41</v>
      </c>
      <c r="F22" s="6">
        <v>29.5</v>
      </c>
      <c r="G22" s="1">
        <v>44.8</v>
      </c>
      <c r="H22" s="1">
        <v>46.6</v>
      </c>
      <c r="I22" s="1">
        <v>42.9</v>
      </c>
      <c r="J22" s="6">
        <v>53</v>
      </c>
      <c r="K22" s="1">
        <v>1.3</v>
      </c>
      <c r="L22" s="6">
        <v>0.9</v>
      </c>
      <c r="M22" s="5">
        <v>0.26600000000000001</v>
      </c>
      <c r="N22" s="6">
        <v>0.29599999999999999</v>
      </c>
      <c r="O22" s="1">
        <v>89</v>
      </c>
      <c r="P22" s="6">
        <v>93</v>
      </c>
      <c r="Q22" s="1" t="s">
        <v>43</v>
      </c>
      <c r="R22" s="1">
        <v>1</v>
      </c>
      <c r="S22" s="1" t="s">
        <v>31</v>
      </c>
      <c r="T22" s="6">
        <v>1</v>
      </c>
      <c r="U22" s="1">
        <v>10</v>
      </c>
      <c r="V22" s="1">
        <v>9</v>
      </c>
      <c r="W22" s="9" t="s">
        <v>25</v>
      </c>
    </row>
    <row r="23" spans="1:23" s="1" customFormat="1" x14ac:dyDescent="0.2">
      <c r="A23" s="5" t="s">
        <v>71</v>
      </c>
      <c r="B23" s="1">
        <v>1899</v>
      </c>
      <c r="C23" s="1" t="s">
        <v>22</v>
      </c>
      <c r="D23" s="1">
        <v>19</v>
      </c>
      <c r="E23" s="5">
        <v>29.56</v>
      </c>
      <c r="F23" s="6">
        <v>29.64</v>
      </c>
      <c r="G23" s="1">
        <v>44.8</v>
      </c>
      <c r="H23" s="1">
        <v>39.799999999999997</v>
      </c>
      <c r="I23" s="1">
        <v>38</v>
      </c>
      <c r="J23" s="6">
        <v>53.1</v>
      </c>
      <c r="K23" s="1">
        <v>1.9</v>
      </c>
      <c r="L23" s="6">
        <v>0.9</v>
      </c>
      <c r="M23" s="5">
        <v>0.254</v>
      </c>
      <c r="N23" s="6">
        <v>0.22600000000000001</v>
      </c>
      <c r="O23" s="1">
        <v>86</v>
      </c>
      <c r="P23" s="6">
        <v>93</v>
      </c>
      <c r="Q23" s="1" t="s">
        <v>44</v>
      </c>
      <c r="R23" s="1">
        <v>2</v>
      </c>
      <c r="S23" s="1" t="s">
        <v>43</v>
      </c>
      <c r="T23" s="6">
        <v>1</v>
      </c>
      <c r="U23" s="1">
        <v>9</v>
      </c>
      <c r="V23" s="1">
        <v>10</v>
      </c>
      <c r="W23" s="9" t="s">
        <v>25</v>
      </c>
    </row>
    <row r="24" spans="1:23" s="1" customFormat="1" x14ac:dyDescent="0.2">
      <c r="A24" s="5" t="s">
        <v>71</v>
      </c>
      <c r="B24" s="1">
        <v>1899</v>
      </c>
      <c r="C24" s="1" t="s">
        <v>22</v>
      </c>
      <c r="D24" s="1">
        <v>20</v>
      </c>
      <c r="E24" s="5">
        <v>29.6</v>
      </c>
      <c r="F24" s="6">
        <v>29.59</v>
      </c>
      <c r="G24" s="1">
        <v>41.7</v>
      </c>
      <c r="H24" s="1">
        <v>43</v>
      </c>
      <c r="I24" s="1">
        <v>39.799999999999997</v>
      </c>
      <c r="J24" s="6">
        <v>44.1</v>
      </c>
      <c r="K24" s="1">
        <v>1.8</v>
      </c>
      <c r="L24" s="6">
        <v>0.6</v>
      </c>
      <c r="M24" s="5">
        <v>0.22600000000000001</v>
      </c>
      <c r="N24" s="6">
        <v>0.26400000000000001</v>
      </c>
      <c r="O24" s="1">
        <v>86</v>
      </c>
      <c r="P24" s="6">
        <v>95</v>
      </c>
      <c r="Q24" s="1" t="s">
        <v>43</v>
      </c>
      <c r="R24" s="1">
        <v>4</v>
      </c>
      <c r="S24" s="1" t="s">
        <v>43</v>
      </c>
      <c r="T24" s="6">
        <v>3</v>
      </c>
      <c r="U24" s="1">
        <v>10</v>
      </c>
      <c r="V24" s="1">
        <v>10</v>
      </c>
      <c r="W24" s="9">
        <v>0.05</v>
      </c>
    </row>
    <row r="25" spans="1:23" s="1" customFormat="1" x14ac:dyDescent="0.2">
      <c r="A25" s="5" t="s">
        <v>71</v>
      </c>
      <c r="B25" s="1">
        <v>1899</v>
      </c>
      <c r="C25" s="1" t="s">
        <v>22</v>
      </c>
      <c r="D25" s="1">
        <v>21</v>
      </c>
      <c r="E25" s="5">
        <v>29.71</v>
      </c>
      <c r="F25" s="6">
        <v>29.71</v>
      </c>
      <c r="G25" s="1">
        <v>41.6</v>
      </c>
      <c r="H25" s="1">
        <v>32.9</v>
      </c>
      <c r="I25" s="1">
        <v>32.5</v>
      </c>
      <c r="J25" s="6">
        <v>49</v>
      </c>
      <c r="K25" s="1">
        <v>2.5</v>
      </c>
      <c r="L25" s="6">
        <v>1</v>
      </c>
      <c r="M25" s="5">
        <v>0.21199999999999999</v>
      </c>
      <c r="N25" s="6">
        <v>0.16600000000000001</v>
      </c>
      <c r="O25" s="1">
        <v>80</v>
      </c>
      <c r="P25" s="6">
        <v>88</v>
      </c>
      <c r="Q25" s="1" t="s">
        <v>33</v>
      </c>
      <c r="R25" s="1">
        <v>2</v>
      </c>
      <c r="S25" s="1" t="s">
        <v>43</v>
      </c>
      <c r="T25" s="6">
        <v>2</v>
      </c>
      <c r="U25" s="1">
        <v>6</v>
      </c>
      <c r="V25" s="1">
        <v>4</v>
      </c>
      <c r="W25" s="9" t="s">
        <v>25</v>
      </c>
    </row>
    <row r="26" spans="1:23" s="1" customFormat="1" x14ac:dyDescent="0.2">
      <c r="A26" s="5" t="s">
        <v>71</v>
      </c>
      <c r="B26" s="1">
        <v>1899</v>
      </c>
      <c r="C26" s="1" t="s">
        <v>22</v>
      </c>
      <c r="D26" s="1">
        <v>22</v>
      </c>
      <c r="E26" s="5">
        <v>29.72</v>
      </c>
      <c r="F26" s="6">
        <v>29.7</v>
      </c>
      <c r="G26" s="1">
        <v>35.9</v>
      </c>
      <c r="H26" s="1">
        <v>31.4</v>
      </c>
      <c r="I26" s="1">
        <v>30.2</v>
      </c>
      <c r="J26" s="6">
        <v>49</v>
      </c>
      <c r="K26" s="1">
        <v>2.2000000000000002</v>
      </c>
      <c r="L26" s="6">
        <v>1.5</v>
      </c>
      <c r="M26" s="5">
        <v>0.17</v>
      </c>
      <c r="N26" s="6">
        <v>0.14199999999999999</v>
      </c>
      <c r="O26" s="1">
        <v>80</v>
      </c>
      <c r="P26" s="6">
        <v>80</v>
      </c>
      <c r="Q26" s="1" t="s">
        <v>43</v>
      </c>
      <c r="R26" s="1">
        <v>3</v>
      </c>
      <c r="S26" s="1" t="s">
        <v>31</v>
      </c>
      <c r="T26" s="6">
        <v>1</v>
      </c>
      <c r="U26" s="1">
        <v>2</v>
      </c>
      <c r="V26" s="1">
        <v>2</v>
      </c>
      <c r="W26" s="9" t="s">
        <v>25</v>
      </c>
    </row>
    <row r="27" spans="1:23" s="1" customFormat="1" x14ac:dyDescent="0.2">
      <c r="A27" s="5" t="s">
        <v>71</v>
      </c>
      <c r="B27" s="1">
        <v>1899</v>
      </c>
      <c r="C27" s="1" t="s">
        <v>22</v>
      </c>
      <c r="D27" s="1">
        <v>23</v>
      </c>
      <c r="E27" s="5">
        <v>29.63</v>
      </c>
      <c r="F27" s="6">
        <v>29.68</v>
      </c>
      <c r="G27" s="1">
        <v>33.9</v>
      </c>
      <c r="H27" s="1">
        <v>35.799999999999997</v>
      </c>
      <c r="I27" s="1">
        <v>24.1</v>
      </c>
      <c r="J27" s="6">
        <v>45.3</v>
      </c>
      <c r="K27" s="1">
        <v>2.9</v>
      </c>
      <c r="L27" s="6">
        <v>0.9</v>
      </c>
      <c r="M27" s="5">
        <v>0.14000000000000001</v>
      </c>
      <c r="N27" s="6">
        <v>0.192</v>
      </c>
      <c r="O27" s="1">
        <v>72</v>
      </c>
      <c r="P27" s="6">
        <v>92</v>
      </c>
      <c r="Q27" s="1" t="s">
        <v>47</v>
      </c>
      <c r="R27" s="1">
        <v>1</v>
      </c>
      <c r="S27" s="1" t="s">
        <v>31</v>
      </c>
      <c r="T27" s="6">
        <v>1</v>
      </c>
      <c r="U27" s="1">
        <v>8</v>
      </c>
      <c r="V27" s="1">
        <v>3</v>
      </c>
      <c r="W27" s="9" t="s">
        <v>25</v>
      </c>
    </row>
    <row r="28" spans="1:23" s="1" customFormat="1" x14ac:dyDescent="0.2">
      <c r="A28" s="5" t="s">
        <v>71</v>
      </c>
      <c r="B28" s="1">
        <v>1899</v>
      </c>
      <c r="C28" s="1" t="s">
        <v>22</v>
      </c>
      <c r="D28" s="1">
        <v>24</v>
      </c>
      <c r="E28" s="5">
        <v>29.68</v>
      </c>
      <c r="F28" s="6">
        <v>29.68</v>
      </c>
      <c r="G28" s="1">
        <v>36.4</v>
      </c>
      <c r="H28" s="1">
        <v>33.9</v>
      </c>
      <c r="I28" s="1">
        <v>31.4</v>
      </c>
      <c r="J28" s="6">
        <v>49.5</v>
      </c>
      <c r="K28" s="1">
        <v>1.5</v>
      </c>
      <c r="L28" s="6">
        <v>0.5</v>
      </c>
      <c r="M28" s="5">
        <v>0.186</v>
      </c>
      <c r="N28" s="6">
        <v>0.184</v>
      </c>
      <c r="O28" s="1">
        <v>87</v>
      </c>
      <c r="P28" s="6">
        <v>94</v>
      </c>
      <c r="Q28" s="1" t="s">
        <v>31</v>
      </c>
      <c r="R28" s="1">
        <v>1</v>
      </c>
      <c r="S28" s="1" t="s">
        <v>31</v>
      </c>
      <c r="T28" s="6">
        <v>1</v>
      </c>
      <c r="U28" s="1">
        <v>9</v>
      </c>
      <c r="V28" s="1">
        <v>0</v>
      </c>
      <c r="W28" s="9" t="s">
        <v>25</v>
      </c>
    </row>
    <row r="29" spans="1:23" s="1" customFormat="1" x14ac:dyDescent="0.2">
      <c r="A29" s="5" t="s">
        <v>71</v>
      </c>
      <c r="B29" s="1">
        <v>1899</v>
      </c>
      <c r="C29" s="1" t="s">
        <v>22</v>
      </c>
      <c r="D29" s="1">
        <v>25</v>
      </c>
      <c r="E29" s="5">
        <v>29.74</v>
      </c>
      <c r="F29" s="6">
        <v>29.75</v>
      </c>
      <c r="G29" s="1">
        <v>26.3</v>
      </c>
      <c r="H29" s="1">
        <v>28.9</v>
      </c>
      <c r="I29" s="1">
        <v>24.6</v>
      </c>
      <c r="J29" s="6">
        <v>40.5</v>
      </c>
      <c r="K29" s="1">
        <v>0.4</v>
      </c>
      <c r="L29" s="6">
        <v>0.5</v>
      </c>
      <c r="M29" s="5">
        <v>0.128</v>
      </c>
      <c r="N29" s="6">
        <v>0.14499999999999999</v>
      </c>
      <c r="O29" s="1">
        <v>90</v>
      </c>
      <c r="P29" s="6">
        <v>91</v>
      </c>
      <c r="Q29" s="1" t="s">
        <v>36</v>
      </c>
      <c r="R29" s="1">
        <v>0</v>
      </c>
      <c r="S29" s="1" t="s">
        <v>43</v>
      </c>
      <c r="T29" s="6">
        <v>1</v>
      </c>
      <c r="U29" s="1">
        <v>10</v>
      </c>
      <c r="V29" s="1">
        <v>0</v>
      </c>
      <c r="W29" s="9" t="s">
        <v>25</v>
      </c>
    </row>
    <row r="30" spans="1:23" s="1" customFormat="1" x14ac:dyDescent="0.2">
      <c r="A30" s="5" t="s">
        <v>71</v>
      </c>
      <c r="B30" s="1">
        <v>1899</v>
      </c>
      <c r="C30" s="1" t="s">
        <v>22</v>
      </c>
      <c r="D30" s="1">
        <v>26</v>
      </c>
      <c r="E30" s="5">
        <v>29.77</v>
      </c>
      <c r="F30" s="6">
        <v>29.79</v>
      </c>
      <c r="G30" s="1">
        <v>25.9</v>
      </c>
      <c r="H30" s="1">
        <v>28.8</v>
      </c>
      <c r="I30" s="1">
        <v>20.2</v>
      </c>
      <c r="J30" s="6">
        <v>45.1</v>
      </c>
      <c r="K30" s="1">
        <v>0.5</v>
      </c>
      <c r="L30" s="6">
        <v>1.4</v>
      </c>
      <c r="M30" s="5">
        <v>0.122</v>
      </c>
      <c r="N30" s="6">
        <v>0.11899999999999999</v>
      </c>
      <c r="O30" s="1">
        <v>88</v>
      </c>
      <c r="P30" s="6">
        <v>75</v>
      </c>
      <c r="Q30" s="1" t="s">
        <v>31</v>
      </c>
      <c r="R30" s="1">
        <v>1</v>
      </c>
      <c r="S30" s="1" t="s">
        <v>31</v>
      </c>
      <c r="T30" s="6">
        <v>1</v>
      </c>
      <c r="U30" s="1">
        <v>9</v>
      </c>
      <c r="V30" s="1">
        <v>0</v>
      </c>
      <c r="W30" s="9" t="s">
        <v>25</v>
      </c>
    </row>
    <row r="31" spans="1:23" s="1" customFormat="1" x14ac:dyDescent="0.2">
      <c r="A31" s="5" t="s">
        <v>71</v>
      </c>
      <c r="B31" s="1">
        <v>1899</v>
      </c>
      <c r="C31" s="1" t="s">
        <v>22</v>
      </c>
      <c r="D31" s="1">
        <v>27</v>
      </c>
      <c r="E31" s="5">
        <v>29.88</v>
      </c>
      <c r="F31" s="6">
        <v>30</v>
      </c>
      <c r="G31" s="1">
        <v>29.1</v>
      </c>
      <c r="H31" s="1">
        <v>28.4</v>
      </c>
      <c r="I31" s="1">
        <v>21.4</v>
      </c>
      <c r="J31" s="6">
        <v>46.5</v>
      </c>
      <c r="K31" s="1">
        <v>1.2</v>
      </c>
      <c r="L31" s="6">
        <v>0.5</v>
      </c>
      <c r="M31" s="5">
        <v>0.127</v>
      </c>
      <c r="N31" s="6">
        <v>0.14000000000000001</v>
      </c>
      <c r="O31" s="1">
        <v>79</v>
      </c>
      <c r="P31" s="6">
        <v>91</v>
      </c>
      <c r="Q31" s="1" t="s">
        <v>31</v>
      </c>
      <c r="R31" s="1">
        <v>1</v>
      </c>
      <c r="S31" s="1" t="s">
        <v>47</v>
      </c>
      <c r="T31" s="6">
        <v>1</v>
      </c>
      <c r="U31" s="1">
        <v>0</v>
      </c>
      <c r="V31" s="1">
        <v>0</v>
      </c>
      <c r="W31" s="9" t="s">
        <v>25</v>
      </c>
    </row>
    <row r="32" spans="1:23" s="1" customFormat="1" x14ac:dyDescent="0.2">
      <c r="A32" s="5" t="s">
        <v>71</v>
      </c>
      <c r="B32" s="1">
        <v>1899</v>
      </c>
      <c r="C32" s="1" t="s">
        <v>22</v>
      </c>
      <c r="D32" s="1">
        <v>28</v>
      </c>
      <c r="E32" s="5">
        <v>30.06</v>
      </c>
      <c r="F32" s="6">
        <v>30.06</v>
      </c>
      <c r="G32" s="1">
        <v>31.3</v>
      </c>
      <c r="H32" s="1">
        <v>31.9</v>
      </c>
      <c r="I32" s="1">
        <v>24.4</v>
      </c>
      <c r="J32" s="6">
        <v>53.1</v>
      </c>
      <c r="K32" s="1">
        <v>0.4</v>
      </c>
      <c r="L32" s="6">
        <v>1</v>
      </c>
      <c r="M32" s="5">
        <v>0.16600000000000001</v>
      </c>
      <c r="N32" s="6">
        <v>0.157</v>
      </c>
      <c r="O32" s="1">
        <v>93</v>
      </c>
      <c r="P32" s="6">
        <v>87</v>
      </c>
      <c r="Q32" s="1" t="s">
        <v>31</v>
      </c>
      <c r="R32" s="1">
        <v>1</v>
      </c>
      <c r="S32" s="1" t="s">
        <v>44</v>
      </c>
      <c r="T32" s="6">
        <v>1</v>
      </c>
      <c r="U32" s="1">
        <v>2</v>
      </c>
      <c r="V32" s="1">
        <v>0</v>
      </c>
      <c r="W32" s="9" t="s">
        <v>25</v>
      </c>
    </row>
    <row r="33" spans="1:23" s="1" customFormat="1" x14ac:dyDescent="0.2">
      <c r="A33" s="10"/>
      <c r="B33" s="11"/>
      <c r="C33" s="11"/>
      <c r="D33" s="12" t="s">
        <v>45</v>
      </c>
      <c r="E33" s="11">
        <v>29.236999999999998</v>
      </c>
      <c r="F33" s="12">
        <v>29.260999999999999</v>
      </c>
      <c r="G33" s="10">
        <v>38.1</v>
      </c>
      <c r="H33" s="11">
        <v>37.299999999999997</v>
      </c>
      <c r="I33" s="11">
        <v>32.6</v>
      </c>
      <c r="J33" s="12">
        <v>46.9</v>
      </c>
      <c r="K33" s="10">
        <v>1.4</v>
      </c>
      <c r="L33" s="12">
        <v>0.9</v>
      </c>
      <c r="M33" s="11">
        <v>0.20799999999999999</v>
      </c>
      <c r="N33" s="11">
        <v>0.21</v>
      </c>
      <c r="O33" s="10">
        <v>87.3</v>
      </c>
      <c r="P33" s="12">
        <v>90.6</v>
      </c>
      <c r="Q33" s="10" t="s">
        <v>25</v>
      </c>
      <c r="R33" s="11">
        <v>1.9</v>
      </c>
      <c r="S33" s="11" t="s">
        <v>25</v>
      </c>
      <c r="T33" s="12">
        <v>1.7</v>
      </c>
      <c r="U33" s="10">
        <v>7.5</v>
      </c>
      <c r="V33" s="12">
        <v>5</v>
      </c>
      <c r="W33" s="13">
        <v>4.0670000000000002</v>
      </c>
    </row>
    <row r="34" spans="1:23" x14ac:dyDescent="0.2">
      <c r="E34">
        <f>SUM(E5:E32)/28</f>
        <v>29.238214285714285</v>
      </c>
      <c r="F34">
        <f>SUM(F5:F32)/28</f>
        <v>29.261785714285711</v>
      </c>
    </row>
  </sheetData>
  <mergeCells count="8">
    <mergeCell ref="K3:L3"/>
    <mergeCell ref="M3:N3"/>
    <mergeCell ref="O3:P3"/>
    <mergeCell ref="E2:F2"/>
    <mergeCell ref="G2:J2"/>
    <mergeCell ref="K2:P2"/>
    <mergeCell ref="Q2:T2"/>
    <mergeCell ref="U2:V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22100-1AF0-43D4-A080-F24B7139868C}">
  <dimension ref="A2:W34"/>
  <sheetViews>
    <sheetView topLeftCell="J1" workbookViewId="0">
      <selection activeCell="E34" sqref="E34"/>
    </sheetView>
  </sheetViews>
  <sheetFormatPr baseColWidth="10" defaultColWidth="8.83203125" defaultRowHeight="15" x14ac:dyDescent="0.2"/>
  <cols>
    <col min="1" max="1" width="14" customWidth="1"/>
  </cols>
  <sheetData>
    <row r="2" spans="1:23" s="2" customFormat="1" ht="32" x14ac:dyDescent="0.2">
      <c r="A2" s="14"/>
      <c r="B2" s="15"/>
      <c r="C2" s="15"/>
      <c r="D2" s="15"/>
      <c r="E2" s="31" t="s">
        <v>0</v>
      </c>
      <c r="F2" s="32"/>
      <c r="G2" s="33" t="s">
        <v>1</v>
      </c>
      <c r="H2" s="33"/>
      <c r="I2" s="33"/>
      <c r="J2" s="34"/>
      <c r="K2" s="29" t="s">
        <v>2</v>
      </c>
      <c r="L2" s="33"/>
      <c r="M2" s="33"/>
      <c r="N2" s="33"/>
      <c r="O2" s="33"/>
      <c r="P2" s="34"/>
      <c r="Q2" s="33" t="s">
        <v>3</v>
      </c>
      <c r="R2" s="33"/>
      <c r="S2" s="33"/>
      <c r="T2" s="34"/>
      <c r="U2" s="29" t="s">
        <v>4</v>
      </c>
      <c r="V2" s="30"/>
      <c r="W2" s="7" t="s">
        <v>5</v>
      </c>
    </row>
    <row r="3" spans="1:23" s="2" customFormat="1" x14ac:dyDescent="0.2">
      <c r="A3" s="3"/>
      <c r="E3" s="16"/>
      <c r="F3" s="17"/>
      <c r="J3" s="4"/>
      <c r="K3" s="35" t="s">
        <v>6</v>
      </c>
      <c r="L3" s="36"/>
      <c r="M3" s="35" t="s">
        <v>7</v>
      </c>
      <c r="N3" s="36"/>
      <c r="O3" s="37" t="s">
        <v>8</v>
      </c>
      <c r="P3" s="38"/>
      <c r="T3" s="4"/>
      <c r="V3" s="1"/>
      <c r="W3" s="18"/>
    </row>
    <row r="4" spans="1:23" s="2" customFormat="1" x14ac:dyDescent="0.2">
      <c r="A4" s="3" t="s">
        <v>9</v>
      </c>
      <c r="B4" s="2" t="s">
        <v>10</v>
      </c>
      <c r="C4" s="2" t="s">
        <v>11</v>
      </c>
      <c r="D4" s="2" t="s">
        <v>12</v>
      </c>
      <c r="E4" s="3" t="s">
        <v>13</v>
      </c>
      <c r="F4" s="4" t="s">
        <v>14</v>
      </c>
      <c r="G4" s="2" t="s">
        <v>13</v>
      </c>
      <c r="H4" s="2" t="s">
        <v>14</v>
      </c>
      <c r="I4" s="2" t="s">
        <v>15</v>
      </c>
      <c r="J4" s="4" t="s">
        <v>16</v>
      </c>
      <c r="K4" s="2" t="s">
        <v>13</v>
      </c>
      <c r="L4" s="4" t="s">
        <v>14</v>
      </c>
      <c r="M4" s="3" t="s">
        <v>13</v>
      </c>
      <c r="N4" s="4" t="s">
        <v>14</v>
      </c>
      <c r="O4" s="2" t="s">
        <v>13</v>
      </c>
      <c r="P4" s="4" t="s">
        <v>14</v>
      </c>
      <c r="Q4" s="2" t="s">
        <v>17</v>
      </c>
      <c r="R4" s="2" t="s">
        <v>18</v>
      </c>
      <c r="S4" s="2" t="s">
        <v>19</v>
      </c>
      <c r="T4" s="4" t="s">
        <v>20</v>
      </c>
      <c r="U4" s="2" t="s">
        <v>13</v>
      </c>
      <c r="V4" s="2" t="s">
        <v>14</v>
      </c>
      <c r="W4" s="8" t="s">
        <v>13</v>
      </c>
    </row>
    <row r="5" spans="1:23" s="1" customFormat="1" x14ac:dyDescent="0.2">
      <c r="A5" s="5" t="s">
        <v>72</v>
      </c>
      <c r="B5" s="1">
        <v>1899</v>
      </c>
      <c r="C5" s="1" t="s">
        <v>22</v>
      </c>
      <c r="D5" s="1">
        <v>1</v>
      </c>
      <c r="E5" s="5">
        <v>29.41</v>
      </c>
      <c r="F5" s="6">
        <v>29.36</v>
      </c>
      <c r="G5" s="1">
        <v>37.4</v>
      </c>
      <c r="H5" s="1">
        <v>34.6</v>
      </c>
      <c r="I5" s="1">
        <v>34.200000000000003</v>
      </c>
      <c r="J5" s="6">
        <v>40</v>
      </c>
      <c r="K5" s="1">
        <v>2.9</v>
      </c>
      <c r="L5" s="6">
        <v>1.5</v>
      </c>
      <c r="M5" s="5">
        <v>0.17</v>
      </c>
      <c r="N5" s="6">
        <v>0.17100000000000001</v>
      </c>
      <c r="O5" s="1">
        <v>76</v>
      </c>
      <c r="P5" s="6">
        <v>85</v>
      </c>
      <c r="Q5" s="1" t="s">
        <v>43</v>
      </c>
      <c r="R5" s="1">
        <v>1</v>
      </c>
      <c r="S5" s="1" t="s">
        <v>43</v>
      </c>
      <c r="T5" s="6">
        <v>2</v>
      </c>
      <c r="U5" s="1">
        <v>10</v>
      </c>
      <c r="V5" s="1">
        <v>1</v>
      </c>
      <c r="W5" s="9" t="s">
        <v>25</v>
      </c>
    </row>
    <row r="6" spans="1:23" s="1" customFormat="1" x14ac:dyDescent="0.2">
      <c r="A6" s="5" t="s">
        <v>72</v>
      </c>
      <c r="B6" s="1">
        <v>1899</v>
      </c>
      <c r="C6" s="1" t="s">
        <v>22</v>
      </c>
      <c r="D6" s="1">
        <v>2</v>
      </c>
      <c r="E6" s="5">
        <v>29.45</v>
      </c>
      <c r="F6" s="6">
        <v>29.63</v>
      </c>
      <c r="G6" s="1">
        <v>35.799999999999997</v>
      </c>
      <c r="H6" s="1">
        <v>39.200000000000003</v>
      </c>
      <c r="I6" s="1">
        <v>33.200000000000003</v>
      </c>
      <c r="J6" s="6">
        <v>40</v>
      </c>
      <c r="K6" s="1">
        <v>2.7</v>
      </c>
      <c r="L6" s="6">
        <v>3.5</v>
      </c>
      <c r="M6" s="5">
        <v>0.16</v>
      </c>
      <c r="N6" s="6">
        <v>0.17399999999999999</v>
      </c>
      <c r="O6" s="1">
        <v>76</v>
      </c>
      <c r="P6" s="6">
        <v>73</v>
      </c>
      <c r="Q6" s="1" t="s">
        <v>47</v>
      </c>
      <c r="R6" s="1">
        <v>2</v>
      </c>
      <c r="S6" s="1" t="s">
        <v>47</v>
      </c>
      <c r="T6" s="6">
        <v>1</v>
      </c>
      <c r="U6" s="1">
        <v>2</v>
      </c>
      <c r="V6" s="1">
        <v>10</v>
      </c>
      <c r="W6" s="9" t="s">
        <v>25</v>
      </c>
    </row>
    <row r="7" spans="1:23" s="1" customFormat="1" x14ac:dyDescent="0.2">
      <c r="A7" s="5" t="s">
        <v>72</v>
      </c>
      <c r="B7" s="1">
        <v>1899</v>
      </c>
      <c r="C7" s="1" t="s">
        <v>22</v>
      </c>
      <c r="D7" s="1">
        <v>3</v>
      </c>
      <c r="E7" s="5">
        <v>29.79</v>
      </c>
      <c r="F7" s="6">
        <v>29.83</v>
      </c>
      <c r="G7" s="1">
        <v>33.6</v>
      </c>
      <c r="H7" s="1">
        <v>33.200000000000003</v>
      </c>
      <c r="I7" s="1">
        <v>29.4</v>
      </c>
      <c r="J7" s="6">
        <v>41.8</v>
      </c>
      <c r="K7" s="1">
        <v>1.5</v>
      </c>
      <c r="L7" s="6">
        <v>3.1</v>
      </c>
      <c r="M7" s="5">
        <v>0.16200000000000001</v>
      </c>
      <c r="N7" s="6">
        <v>0.129</v>
      </c>
      <c r="O7" s="1">
        <v>85</v>
      </c>
      <c r="P7" s="6">
        <v>67</v>
      </c>
      <c r="Q7" s="1" t="s">
        <v>43</v>
      </c>
      <c r="R7" s="1">
        <v>1</v>
      </c>
      <c r="S7" s="1" t="s">
        <v>43</v>
      </c>
      <c r="T7" s="6">
        <v>2</v>
      </c>
      <c r="U7" s="1">
        <v>0</v>
      </c>
      <c r="V7" s="1">
        <v>0</v>
      </c>
      <c r="W7" s="9" t="s">
        <v>25</v>
      </c>
    </row>
    <row r="8" spans="1:23" s="1" customFormat="1" x14ac:dyDescent="0.2">
      <c r="A8" s="5" t="s">
        <v>72</v>
      </c>
      <c r="B8" s="1">
        <v>1899</v>
      </c>
      <c r="C8" s="1" t="s">
        <v>22</v>
      </c>
      <c r="D8" s="1">
        <v>4</v>
      </c>
      <c r="E8" s="5">
        <v>29.68</v>
      </c>
      <c r="F8" s="6">
        <v>29.51</v>
      </c>
      <c r="G8" s="1">
        <v>38.799999999999997</v>
      </c>
      <c r="H8" s="1">
        <v>41</v>
      </c>
      <c r="I8" s="1">
        <v>32.4</v>
      </c>
      <c r="J8" s="6">
        <v>41</v>
      </c>
      <c r="K8" s="1">
        <v>4.0999999999999996</v>
      </c>
      <c r="L8" s="6">
        <v>1.1000000000000001</v>
      </c>
      <c r="M8" s="5">
        <v>0.161</v>
      </c>
      <c r="N8" s="6">
        <v>0.23300000000000001</v>
      </c>
      <c r="O8" s="1">
        <v>68</v>
      </c>
      <c r="P8" s="6">
        <v>91</v>
      </c>
      <c r="Q8" s="1" t="s">
        <v>31</v>
      </c>
      <c r="R8" s="1">
        <v>5</v>
      </c>
      <c r="S8" s="1" t="s">
        <v>31</v>
      </c>
      <c r="T8" s="6">
        <v>4</v>
      </c>
      <c r="U8" s="1">
        <v>10</v>
      </c>
      <c r="V8" s="1">
        <v>10</v>
      </c>
      <c r="W8" s="9">
        <v>0.56999999999999995</v>
      </c>
    </row>
    <row r="9" spans="1:23" s="1" customFormat="1" x14ac:dyDescent="0.2">
      <c r="A9" s="5" t="s">
        <v>72</v>
      </c>
      <c r="B9" s="1">
        <v>1899</v>
      </c>
      <c r="C9" s="1" t="s">
        <v>22</v>
      </c>
      <c r="D9" s="1">
        <v>5</v>
      </c>
      <c r="E9" s="5">
        <v>29.49</v>
      </c>
      <c r="F9" s="6">
        <v>29.52</v>
      </c>
      <c r="G9" s="1">
        <v>42.6</v>
      </c>
      <c r="H9" s="1">
        <v>42</v>
      </c>
      <c r="I9" s="1">
        <v>39.200000000000003</v>
      </c>
      <c r="J9" s="6">
        <v>49</v>
      </c>
      <c r="K9" s="1">
        <v>0.9</v>
      </c>
      <c r="L9" s="6">
        <v>1.3</v>
      </c>
      <c r="M9" s="5">
        <v>0.253</v>
      </c>
      <c r="N9" s="6">
        <v>0.23799999999999999</v>
      </c>
      <c r="O9" s="1">
        <v>93</v>
      </c>
      <c r="P9" s="6">
        <v>89</v>
      </c>
      <c r="Q9" s="1" t="s">
        <v>29</v>
      </c>
      <c r="R9" s="1">
        <v>2</v>
      </c>
      <c r="S9" s="1" t="s">
        <v>31</v>
      </c>
      <c r="T9" s="6">
        <v>3</v>
      </c>
      <c r="U9" s="1">
        <v>9</v>
      </c>
      <c r="V9" s="1">
        <v>10</v>
      </c>
      <c r="W9" s="9">
        <v>0.62</v>
      </c>
    </row>
    <row r="10" spans="1:23" s="1" customFormat="1" x14ac:dyDescent="0.2">
      <c r="A10" s="5" t="s">
        <v>72</v>
      </c>
      <c r="B10" s="1">
        <v>1899</v>
      </c>
      <c r="C10" s="1" t="s">
        <v>22</v>
      </c>
      <c r="D10" s="1">
        <v>6</v>
      </c>
      <c r="E10" s="5">
        <v>29.56</v>
      </c>
      <c r="F10" s="6">
        <v>29.46</v>
      </c>
      <c r="G10" s="1">
        <v>40.799999999999997</v>
      </c>
      <c r="H10" s="1">
        <v>40.4</v>
      </c>
      <c r="I10" s="1">
        <v>37.799999999999997</v>
      </c>
      <c r="J10" s="6">
        <v>45.8</v>
      </c>
      <c r="K10" s="1">
        <v>1.3</v>
      </c>
      <c r="L10" s="6">
        <v>0.9</v>
      </c>
      <c r="M10" s="5">
        <v>0.22700000000000001</v>
      </c>
      <c r="N10" s="6">
        <v>0.23200000000000001</v>
      </c>
      <c r="O10" s="1">
        <v>89</v>
      </c>
      <c r="P10" s="6">
        <v>93</v>
      </c>
      <c r="Q10" s="1" t="s">
        <v>43</v>
      </c>
      <c r="R10" s="1">
        <v>4</v>
      </c>
      <c r="S10" s="1" t="s">
        <v>31</v>
      </c>
      <c r="T10" s="6">
        <v>5</v>
      </c>
      <c r="U10" s="1">
        <v>9</v>
      </c>
      <c r="V10" s="1">
        <v>3</v>
      </c>
      <c r="W10" s="9">
        <v>0.09</v>
      </c>
    </row>
    <row r="11" spans="1:23" s="1" customFormat="1" x14ac:dyDescent="0.2">
      <c r="A11" s="5" t="s">
        <v>72</v>
      </c>
      <c r="B11" s="1">
        <v>1899</v>
      </c>
      <c r="C11" s="1" t="s">
        <v>22</v>
      </c>
      <c r="D11" s="1">
        <v>7</v>
      </c>
      <c r="E11" s="5">
        <v>29.31</v>
      </c>
      <c r="F11" s="6">
        <v>29.27</v>
      </c>
      <c r="G11" s="1">
        <v>51.4</v>
      </c>
      <c r="H11" s="1">
        <v>51.2</v>
      </c>
      <c r="I11" s="1">
        <v>39.799999999999997</v>
      </c>
      <c r="J11" s="6">
        <v>54</v>
      </c>
      <c r="K11" s="1">
        <v>3.2</v>
      </c>
      <c r="L11" s="6">
        <v>1.8</v>
      </c>
      <c r="M11" s="5">
        <v>0.29799999999999999</v>
      </c>
      <c r="N11" s="6">
        <v>0.33</v>
      </c>
      <c r="O11" s="1">
        <v>79</v>
      </c>
      <c r="P11" s="6">
        <v>88</v>
      </c>
      <c r="Q11" s="1" t="s">
        <v>38</v>
      </c>
      <c r="R11" s="1">
        <v>2</v>
      </c>
      <c r="S11" s="1" t="s">
        <v>31</v>
      </c>
      <c r="T11" s="6">
        <v>3</v>
      </c>
      <c r="U11" s="1">
        <v>7</v>
      </c>
      <c r="V11" s="1">
        <v>3</v>
      </c>
      <c r="W11" s="9">
        <v>0.33</v>
      </c>
    </row>
    <row r="12" spans="1:23" s="1" customFormat="1" x14ac:dyDescent="0.2">
      <c r="A12" s="5" t="s">
        <v>72</v>
      </c>
      <c r="B12" s="1">
        <v>1899</v>
      </c>
      <c r="C12" s="1" t="s">
        <v>22</v>
      </c>
      <c r="D12" s="1">
        <v>8</v>
      </c>
      <c r="E12" s="5">
        <v>29.2</v>
      </c>
      <c r="F12" s="6">
        <v>29.18</v>
      </c>
      <c r="G12" s="1">
        <v>50.8</v>
      </c>
      <c r="H12" s="1">
        <v>52.8</v>
      </c>
      <c r="I12" s="1">
        <v>49.2</v>
      </c>
      <c r="J12" s="6">
        <v>55.2</v>
      </c>
      <c r="K12" s="1">
        <v>1.7</v>
      </c>
      <c r="L12" s="6">
        <v>3.6</v>
      </c>
      <c r="M12" s="5">
        <v>0.32700000000000001</v>
      </c>
      <c r="N12" s="6">
        <v>0.30599999999999999</v>
      </c>
      <c r="O12" s="1">
        <v>89</v>
      </c>
      <c r="P12" s="6">
        <v>77</v>
      </c>
      <c r="Q12" s="1" t="s">
        <v>38</v>
      </c>
      <c r="R12" s="1">
        <v>3</v>
      </c>
      <c r="S12" s="1" t="s">
        <v>38</v>
      </c>
      <c r="T12" s="6">
        <v>3</v>
      </c>
      <c r="U12" s="1">
        <v>10</v>
      </c>
      <c r="V12" s="1">
        <v>3</v>
      </c>
      <c r="W12" s="9">
        <v>0.17</v>
      </c>
    </row>
    <row r="13" spans="1:23" s="1" customFormat="1" x14ac:dyDescent="0.2">
      <c r="A13" s="5" t="s">
        <v>72</v>
      </c>
      <c r="B13" s="1">
        <v>1899</v>
      </c>
      <c r="C13" s="1" t="s">
        <v>22</v>
      </c>
      <c r="D13" s="1">
        <v>9</v>
      </c>
      <c r="E13" s="5">
        <v>29.25</v>
      </c>
      <c r="F13" s="6">
        <v>29.26</v>
      </c>
      <c r="G13" s="1">
        <v>49.6</v>
      </c>
      <c r="H13" s="1">
        <v>55</v>
      </c>
      <c r="I13" s="1">
        <v>48.4</v>
      </c>
      <c r="J13" s="6">
        <v>58.2</v>
      </c>
      <c r="K13" s="1">
        <v>1.8</v>
      </c>
      <c r="L13" s="6">
        <v>3</v>
      </c>
      <c r="M13" s="5">
        <v>0.308</v>
      </c>
      <c r="N13" s="6">
        <v>0.34899999999999998</v>
      </c>
      <c r="O13" s="1">
        <v>88</v>
      </c>
      <c r="P13" s="6">
        <v>80</v>
      </c>
      <c r="Q13" s="1" t="s">
        <v>31</v>
      </c>
      <c r="R13" s="1">
        <v>2</v>
      </c>
      <c r="S13" s="1" t="s">
        <v>38</v>
      </c>
      <c r="T13" s="6">
        <v>3</v>
      </c>
      <c r="U13" s="1">
        <v>10</v>
      </c>
      <c r="V13" s="1">
        <v>10</v>
      </c>
      <c r="W13" s="9">
        <v>0.25</v>
      </c>
    </row>
    <row r="14" spans="1:23" s="1" customFormat="1" x14ac:dyDescent="0.2">
      <c r="A14" s="5" t="s">
        <v>72</v>
      </c>
      <c r="B14" s="1">
        <v>1899</v>
      </c>
      <c r="C14" s="1" t="s">
        <v>22</v>
      </c>
      <c r="D14" s="1">
        <v>10</v>
      </c>
      <c r="E14" s="5">
        <v>29.25</v>
      </c>
      <c r="F14" s="6">
        <v>29.42</v>
      </c>
      <c r="G14" s="1">
        <v>56.8</v>
      </c>
      <c r="H14" s="1">
        <v>52</v>
      </c>
      <c r="I14" s="1">
        <v>51.4</v>
      </c>
      <c r="J14" s="6">
        <v>59</v>
      </c>
      <c r="K14" s="1">
        <v>4.8</v>
      </c>
      <c r="L14" s="6">
        <v>3.2</v>
      </c>
      <c r="M14" s="5">
        <v>0.33</v>
      </c>
      <c r="N14" s="6">
        <v>0.30499999999999999</v>
      </c>
      <c r="O14" s="1">
        <v>72</v>
      </c>
      <c r="P14" s="6">
        <v>79</v>
      </c>
      <c r="Q14" s="1" t="s">
        <v>38</v>
      </c>
      <c r="R14" s="1">
        <v>6</v>
      </c>
      <c r="S14" s="1" t="s">
        <v>38</v>
      </c>
      <c r="T14" s="6">
        <v>4</v>
      </c>
      <c r="U14" s="1">
        <v>10</v>
      </c>
      <c r="V14" s="1">
        <v>4</v>
      </c>
      <c r="W14" s="9">
        <v>0.02</v>
      </c>
    </row>
    <row r="15" spans="1:23" s="1" customFormat="1" x14ac:dyDescent="0.2">
      <c r="A15" s="5" t="s">
        <v>72</v>
      </c>
      <c r="B15" s="1">
        <v>1899</v>
      </c>
      <c r="C15" s="1" t="s">
        <v>22</v>
      </c>
      <c r="D15" s="1">
        <v>11</v>
      </c>
      <c r="E15" s="5">
        <v>29.35</v>
      </c>
      <c r="F15" s="6">
        <v>29.17</v>
      </c>
      <c r="G15" s="1">
        <v>52</v>
      </c>
      <c r="H15" s="1">
        <v>48.8</v>
      </c>
      <c r="I15" s="1">
        <v>47.8</v>
      </c>
      <c r="J15" s="6">
        <v>54.4</v>
      </c>
      <c r="K15" s="1">
        <v>2.4</v>
      </c>
      <c r="L15" s="6">
        <v>1.9</v>
      </c>
      <c r="M15" s="5">
        <v>0.32500000000000001</v>
      </c>
      <c r="N15" s="6">
        <v>0.29699999999999999</v>
      </c>
      <c r="O15" s="1">
        <v>83</v>
      </c>
      <c r="P15" s="6">
        <v>86</v>
      </c>
      <c r="Q15" s="1" t="s">
        <v>38</v>
      </c>
      <c r="R15" s="1">
        <v>4</v>
      </c>
      <c r="S15" s="1" t="s">
        <v>38</v>
      </c>
      <c r="T15" s="6">
        <v>4</v>
      </c>
      <c r="U15" s="1">
        <v>8</v>
      </c>
      <c r="V15" s="1">
        <v>8</v>
      </c>
      <c r="W15" s="9">
        <v>0.15</v>
      </c>
    </row>
    <row r="16" spans="1:23" s="1" customFormat="1" x14ac:dyDescent="0.2">
      <c r="A16" s="5" t="s">
        <v>72</v>
      </c>
      <c r="B16" s="1">
        <v>1899</v>
      </c>
      <c r="C16" s="1" t="s">
        <v>22</v>
      </c>
      <c r="D16" s="1">
        <v>12</v>
      </c>
      <c r="E16" s="5">
        <v>29.09</v>
      </c>
      <c r="F16" s="6">
        <v>29.22</v>
      </c>
      <c r="G16" s="1">
        <v>45.8</v>
      </c>
      <c r="H16" s="1">
        <v>49.8</v>
      </c>
      <c r="I16" s="1">
        <v>43.8</v>
      </c>
      <c r="J16" s="6">
        <v>50.4</v>
      </c>
      <c r="K16" s="1">
        <v>1.3</v>
      </c>
      <c r="L16" s="6">
        <v>1</v>
      </c>
      <c r="M16" s="5">
        <v>0.27700000000000002</v>
      </c>
      <c r="N16" s="6">
        <v>0.33100000000000002</v>
      </c>
      <c r="O16" s="1">
        <v>90</v>
      </c>
      <c r="P16" s="6">
        <v>93</v>
      </c>
      <c r="Q16" s="1" t="s">
        <v>44</v>
      </c>
      <c r="R16" s="1">
        <v>6</v>
      </c>
      <c r="S16" s="1" t="s">
        <v>38</v>
      </c>
      <c r="T16" s="6">
        <v>3</v>
      </c>
      <c r="U16" s="1">
        <v>10</v>
      </c>
      <c r="V16" s="1">
        <v>10</v>
      </c>
      <c r="W16" s="9">
        <v>0.17</v>
      </c>
    </row>
    <row r="17" spans="1:23" s="1" customFormat="1" x14ac:dyDescent="0.2">
      <c r="A17" s="5" t="s">
        <v>72</v>
      </c>
      <c r="B17" s="1">
        <v>1899</v>
      </c>
      <c r="C17" s="1" t="s">
        <v>22</v>
      </c>
      <c r="D17" s="1">
        <v>13</v>
      </c>
      <c r="E17" s="5">
        <v>28.99</v>
      </c>
      <c r="F17" s="6">
        <v>29.13</v>
      </c>
      <c r="G17" s="1">
        <v>51</v>
      </c>
      <c r="H17" s="1">
        <v>45.4</v>
      </c>
      <c r="I17" s="1">
        <v>42.4</v>
      </c>
      <c r="J17" s="6">
        <v>52.6</v>
      </c>
      <c r="K17" s="1">
        <v>2</v>
      </c>
      <c r="L17" s="6">
        <v>2.1</v>
      </c>
      <c r="M17" s="5">
        <v>0.32200000000000001</v>
      </c>
      <c r="N17" s="6">
        <v>0.25600000000000001</v>
      </c>
      <c r="O17" s="1">
        <v>86</v>
      </c>
      <c r="P17" s="6">
        <v>84</v>
      </c>
      <c r="Q17" s="1" t="s">
        <v>38</v>
      </c>
      <c r="R17" s="1">
        <v>4</v>
      </c>
      <c r="S17" s="1" t="s">
        <v>38</v>
      </c>
      <c r="T17" s="6">
        <v>4</v>
      </c>
      <c r="U17" s="1">
        <v>10</v>
      </c>
      <c r="V17" s="1">
        <v>9</v>
      </c>
      <c r="W17" s="9">
        <v>0.47</v>
      </c>
    </row>
    <row r="18" spans="1:23" s="1" customFormat="1" x14ac:dyDescent="0.2">
      <c r="A18" s="5" t="s">
        <v>72</v>
      </c>
      <c r="B18" s="1">
        <v>1899</v>
      </c>
      <c r="C18" s="1" t="s">
        <v>22</v>
      </c>
      <c r="D18" s="1">
        <v>14</v>
      </c>
      <c r="E18" s="5">
        <v>29.41</v>
      </c>
      <c r="F18" s="6">
        <v>29.52</v>
      </c>
      <c r="G18" s="1">
        <v>46.8</v>
      </c>
      <c r="H18" s="1">
        <v>45</v>
      </c>
      <c r="I18" s="1">
        <v>42.8</v>
      </c>
      <c r="J18" s="6">
        <v>53.2</v>
      </c>
      <c r="K18" s="1">
        <v>2.1</v>
      </c>
      <c r="L18" s="6">
        <v>0.9</v>
      </c>
      <c r="M18" s="5">
        <v>0.27100000000000002</v>
      </c>
      <c r="N18" s="6">
        <v>0.27800000000000002</v>
      </c>
      <c r="O18" s="1">
        <v>85</v>
      </c>
      <c r="P18" s="6">
        <v>93</v>
      </c>
      <c r="Q18" s="1" t="s">
        <v>35</v>
      </c>
      <c r="R18" s="1">
        <v>2</v>
      </c>
      <c r="S18" s="1" t="s">
        <v>43</v>
      </c>
      <c r="T18" s="6">
        <v>2</v>
      </c>
      <c r="U18" s="1">
        <v>1</v>
      </c>
      <c r="V18" s="1">
        <v>6</v>
      </c>
      <c r="W18" s="9">
        <v>0.03</v>
      </c>
    </row>
    <row r="19" spans="1:23" s="1" customFormat="1" x14ac:dyDescent="0.2">
      <c r="A19" s="5" t="s">
        <v>72</v>
      </c>
      <c r="B19" s="1">
        <v>1899</v>
      </c>
      <c r="C19" s="1" t="s">
        <v>22</v>
      </c>
      <c r="D19" s="1">
        <v>15</v>
      </c>
      <c r="E19" s="5">
        <v>29.69</v>
      </c>
      <c r="F19" s="6">
        <v>29.7</v>
      </c>
      <c r="G19" s="1">
        <v>45</v>
      </c>
      <c r="H19" s="1">
        <v>42.4</v>
      </c>
      <c r="I19" s="1">
        <v>41.8</v>
      </c>
      <c r="J19" s="6">
        <v>47.4</v>
      </c>
      <c r="K19" s="1">
        <v>0.5</v>
      </c>
      <c r="L19" s="6">
        <v>0.5</v>
      </c>
      <c r="M19" s="5">
        <v>0.28699999999999998</v>
      </c>
      <c r="N19" s="6">
        <v>0.26</v>
      </c>
      <c r="O19" s="1">
        <v>96</v>
      </c>
      <c r="P19" s="6">
        <v>96</v>
      </c>
      <c r="Q19" s="1" t="s">
        <v>31</v>
      </c>
      <c r="R19" s="1">
        <v>2</v>
      </c>
      <c r="S19" s="1" t="s">
        <v>31</v>
      </c>
      <c r="T19" s="6">
        <v>1</v>
      </c>
      <c r="U19" s="1">
        <v>10</v>
      </c>
      <c r="V19" s="1">
        <v>10</v>
      </c>
      <c r="W19" s="9">
        <v>0.24</v>
      </c>
    </row>
    <row r="20" spans="1:23" s="1" customFormat="1" x14ac:dyDescent="0.2">
      <c r="A20" s="5" t="s">
        <v>72</v>
      </c>
      <c r="B20" s="1">
        <v>1899</v>
      </c>
      <c r="C20" s="1" t="s">
        <v>22</v>
      </c>
      <c r="D20" s="1">
        <v>16</v>
      </c>
      <c r="E20" s="5">
        <v>29.8</v>
      </c>
      <c r="F20" s="6">
        <v>29.83</v>
      </c>
      <c r="G20" s="1">
        <v>42.2</v>
      </c>
      <c r="H20" s="1">
        <v>44</v>
      </c>
      <c r="I20" s="1">
        <v>39.799999999999997</v>
      </c>
      <c r="J20" s="6">
        <v>52</v>
      </c>
      <c r="K20" s="1">
        <v>2.2999999999999998</v>
      </c>
      <c r="L20" s="6">
        <v>1.1000000000000001</v>
      </c>
      <c r="M20" s="5">
        <v>0.221</v>
      </c>
      <c r="N20" s="6">
        <v>0.26300000000000001</v>
      </c>
      <c r="O20" s="1">
        <v>82</v>
      </c>
      <c r="P20" s="6">
        <v>91</v>
      </c>
      <c r="Q20" s="1" t="s">
        <v>31</v>
      </c>
      <c r="R20" s="1">
        <v>3</v>
      </c>
      <c r="S20" s="1" t="s">
        <v>43</v>
      </c>
      <c r="T20" s="6">
        <v>3</v>
      </c>
      <c r="U20" s="1">
        <v>7</v>
      </c>
      <c r="V20" s="1">
        <v>5</v>
      </c>
      <c r="W20" s="9" t="s">
        <v>25</v>
      </c>
    </row>
    <row r="21" spans="1:23" s="1" customFormat="1" x14ac:dyDescent="0.2">
      <c r="A21" s="5" t="s">
        <v>72</v>
      </c>
      <c r="B21" s="1">
        <v>1899</v>
      </c>
      <c r="C21" s="1" t="s">
        <v>22</v>
      </c>
      <c r="D21" s="1">
        <v>17</v>
      </c>
      <c r="E21" s="5">
        <v>29.79</v>
      </c>
      <c r="F21" s="6">
        <v>29.83</v>
      </c>
      <c r="G21" s="1">
        <v>48.8</v>
      </c>
      <c r="H21" s="1">
        <v>50.8</v>
      </c>
      <c r="I21" s="1">
        <v>43.6</v>
      </c>
      <c r="J21" s="6">
        <v>58.8</v>
      </c>
      <c r="K21" s="1">
        <v>1</v>
      </c>
      <c r="L21" s="6">
        <v>1.4</v>
      </c>
      <c r="M21" s="5">
        <v>0.31900000000000001</v>
      </c>
      <c r="N21" s="6">
        <v>0.33500000000000002</v>
      </c>
      <c r="O21" s="1">
        <v>92</v>
      </c>
      <c r="P21" s="6">
        <v>90</v>
      </c>
      <c r="Q21" s="1" t="s">
        <v>31</v>
      </c>
      <c r="R21" s="1">
        <v>5</v>
      </c>
      <c r="S21" s="1" t="s">
        <v>31</v>
      </c>
      <c r="T21" s="6">
        <v>3</v>
      </c>
      <c r="U21" s="1">
        <v>2</v>
      </c>
      <c r="V21" s="1">
        <v>10</v>
      </c>
      <c r="W21" s="9" t="s">
        <v>25</v>
      </c>
    </row>
    <row r="22" spans="1:23" s="1" customFormat="1" x14ac:dyDescent="0.2">
      <c r="A22" s="5" t="s">
        <v>72</v>
      </c>
      <c r="B22" s="1">
        <v>1899</v>
      </c>
      <c r="C22" s="1" t="s">
        <v>22</v>
      </c>
      <c r="D22" s="1">
        <v>18</v>
      </c>
      <c r="E22" s="5">
        <v>29.91</v>
      </c>
      <c r="F22" s="6">
        <v>30.02</v>
      </c>
      <c r="G22" s="1">
        <v>49.8</v>
      </c>
      <c r="H22" s="1">
        <v>47.6</v>
      </c>
      <c r="I22" s="1">
        <v>46.8</v>
      </c>
      <c r="J22" s="6">
        <v>51.4</v>
      </c>
      <c r="K22" s="1">
        <v>0.8</v>
      </c>
      <c r="L22" s="6">
        <v>0.9</v>
      </c>
      <c r="M22" s="5">
        <v>0.33600000000000002</v>
      </c>
      <c r="N22" s="6">
        <v>0.307</v>
      </c>
      <c r="O22" s="1">
        <v>94</v>
      </c>
      <c r="P22" s="6">
        <v>93</v>
      </c>
      <c r="Q22" s="1" t="s">
        <v>31</v>
      </c>
      <c r="R22" s="1">
        <v>2</v>
      </c>
      <c r="S22" s="1" t="s">
        <v>35</v>
      </c>
      <c r="T22" s="6">
        <v>1</v>
      </c>
      <c r="U22" s="1">
        <v>10</v>
      </c>
      <c r="V22" s="1">
        <v>10</v>
      </c>
      <c r="W22" s="9" t="s">
        <v>25</v>
      </c>
    </row>
    <row r="23" spans="1:23" s="1" customFormat="1" x14ac:dyDescent="0.2">
      <c r="A23" s="5" t="s">
        <v>72</v>
      </c>
      <c r="B23" s="1">
        <v>1899</v>
      </c>
      <c r="C23" s="1" t="s">
        <v>22</v>
      </c>
      <c r="D23" s="1">
        <v>19</v>
      </c>
      <c r="E23" s="5">
        <v>30.11</v>
      </c>
      <c r="F23" s="6">
        <v>30.08</v>
      </c>
      <c r="G23" s="1">
        <v>46.6</v>
      </c>
      <c r="H23" s="1">
        <v>45</v>
      </c>
      <c r="I23" s="1">
        <v>42.8</v>
      </c>
      <c r="J23" s="6">
        <v>50</v>
      </c>
      <c r="K23" s="1">
        <v>1.3</v>
      </c>
      <c r="L23" s="6">
        <v>0.9</v>
      </c>
      <c r="M23" s="5">
        <v>0.28699999999999998</v>
      </c>
      <c r="N23" s="6">
        <v>0.27800000000000002</v>
      </c>
      <c r="O23" s="1">
        <v>90</v>
      </c>
      <c r="P23" s="6">
        <v>93</v>
      </c>
      <c r="Q23" s="1" t="s">
        <v>29</v>
      </c>
      <c r="R23" s="1">
        <v>1</v>
      </c>
      <c r="S23" s="1" t="s">
        <v>29</v>
      </c>
      <c r="T23" s="6">
        <v>1</v>
      </c>
      <c r="U23" s="1">
        <v>7</v>
      </c>
      <c r="V23" s="1">
        <v>7</v>
      </c>
      <c r="W23" s="9">
        <v>0.12</v>
      </c>
    </row>
    <row r="24" spans="1:23" s="1" customFormat="1" x14ac:dyDescent="0.2">
      <c r="A24" s="5" t="s">
        <v>72</v>
      </c>
      <c r="B24" s="1">
        <v>1899</v>
      </c>
      <c r="C24" s="1" t="s">
        <v>22</v>
      </c>
      <c r="D24" s="1">
        <v>20</v>
      </c>
      <c r="E24" s="5">
        <v>29.93</v>
      </c>
      <c r="F24" s="6">
        <v>30.03</v>
      </c>
      <c r="G24" s="1">
        <v>45.8</v>
      </c>
      <c r="H24" s="1">
        <v>46.2</v>
      </c>
      <c r="I24" s="1">
        <v>43.8</v>
      </c>
      <c r="J24" s="6">
        <v>47.2</v>
      </c>
      <c r="K24" s="1">
        <v>0.7</v>
      </c>
      <c r="L24" s="6">
        <v>0.5</v>
      </c>
      <c r="M24" s="5">
        <v>0.29199999999999998</v>
      </c>
      <c r="N24" s="6">
        <v>0.30099999999999999</v>
      </c>
      <c r="O24" s="1">
        <v>94</v>
      </c>
      <c r="P24" s="6">
        <v>96</v>
      </c>
      <c r="Q24" s="1" t="s">
        <v>31</v>
      </c>
      <c r="R24" s="1">
        <v>4</v>
      </c>
      <c r="S24" s="1" t="s">
        <v>31</v>
      </c>
      <c r="T24" s="6">
        <v>2</v>
      </c>
      <c r="U24" s="1">
        <v>10</v>
      </c>
      <c r="V24" s="1">
        <v>10</v>
      </c>
      <c r="W24" s="9">
        <v>0.02</v>
      </c>
    </row>
    <row r="25" spans="1:23" s="1" customFormat="1" x14ac:dyDescent="0.2">
      <c r="A25" s="5" t="s">
        <v>72</v>
      </c>
      <c r="B25" s="1">
        <v>1899</v>
      </c>
      <c r="C25" s="1" t="s">
        <v>22</v>
      </c>
      <c r="D25" s="1">
        <v>21</v>
      </c>
      <c r="E25" s="5">
        <v>30.1</v>
      </c>
      <c r="F25" s="6">
        <v>30.09</v>
      </c>
      <c r="G25" s="1">
        <v>43.4</v>
      </c>
      <c r="H25" s="1">
        <v>44.6</v>
      </c>
      <c r="I25" s="1">
        <v>42.8</v>
      </c>
      <c r="J25" s="6">
        <v>52.4</v>
      </c>
      <c r="K25" s="1">
        <v>1.7</v>
      </c>
      <c r="L25" s="6">
        <v>3.1</v>
      </c>
      <c r="M25" s="5">
        <v>0.24399999999999999</v>
      </c>
      <c r="N25" s="6">
        <v>0.22800000000000001</v>
      </c>
      <c r="O25" s="1">
        <v>87</v>
      </c>
      <c r="P25" s="6">
        <v>78</v>
      </c>
      <c r="Q25" s="1" t="s">
        <v>43</v>
      </c>
      <c r="R25" s="1">
        <v>3</v>
      </c>
      <c r="S25" s="1" t="s">
        <v>43</v>
      </c>
      <c r="T25" s="6">
        <v>3</v>
      </c>
      <c r="U25" s="1">
        <v>5</v>
      </c>
      <c r="V25" s="1">
        <v>2</v>
      </c>
      <c r="W25" s="9" t="s">
        <v>25</v>
      </c>
    </row>
    <row r="26" spans="1:23" s="1" customFormat="1" x14ac:dyDescent="0.2">
      <c r="A26" s="5" t="s">
        <v>72</v>
      </c>
      <c r="B26" s="1">
        <v>1899</v>
      </c>
      <c r="C26" s="1" t="s">
        <v>22</v>
      </c>
      <c r="D26" s="1">
        <v>22</v>
      </c>
      <c r="E26" s="5">
        <v>30.18</v>
      </c>
      <c r="F26" s="6">
        <v>30.13</v>
      </c>
      <c r="G26" s="1">
        <v>40</v>
      </c>
      <c r="H26" s="1">
        <v>43.8</v>
      </c>
      <c r="I26" s="1">
        <v>38.4</v>
      </c>
      <c r="J26" s="6">
        <v>52.2</v>
      </c>
      <c r="K26" s="1">
        <v>1.3</v>
      </c>
      <c r="L26" s="6">
        <v>6.7</v>
      </c>
      <c r="M26" s="5">
        <v>0.22</v>
      </c>
      <c r="N26" s="6">
        <v>0.16</v>
      </c>
      <c r="O26" s="1">
        <v>89</v>
      </c>
      <c r="P26" s="6">
        <v>56</v>
      </c>
      <c r="Q26" s="1" t="s">
        <v>31</v>
      </c>
      <c r="R26" s="1">
        <v>2</v>
      </c>
      <c r="S26" s="1" t="s">
        <v>43</v>
      </c>
      <c r="T26" s="6">
        <v>2</v>
      </c>
      <c r="U26" s="1">
        <v>8</v>
      </c>
      <c r="V26" s="1">
        <v>3</v>
      </c>
      <c r="W26" s="9" t="s">
        <v>25</v>
      </c>
    </row>
    <row r="27" spans="1:23" s="1" customFormat="1" x14ac:dyDescent="0.2">
      <c r="A27" s="5" t="s">
        <v>72</v>
      </c>
      <c r="B27" s="1">
        <v>1899</v>
      </c>
      <c r="C27" s="1" t="s">
        <v>22</v>
      </c>
      <c r="D27" s="1">
        <v>23</v>
      </c>
      <c r="E27" s="5">
        <v>30.1</v>
      </c>
      <c r="F27" s="6">
        <v>30.16</v>
      </c>
      <c r="G27" s="1">
        <v>43.6</v>
      </c>
      <c r="H27" s="1">
        <v>43.8</v>
      </c>
      <c r="I27" s="1">
        <v>38.200000000000003</v>
      </c>
      <c r="J27" s="6">
        <v>50</v>
      </c>
      <c r="K27" s="1">
        <v>2.1</v>
      </c>
      <c r="L27" s="6">
        <v>1.9</v>
      </c>
      <c r="M27" s="5">
        <v>0.23799999999999999</v>
      </c>
      <c r="N27" s="6">
        <v>0.24299999999999999</v>
      </c>
      <c r="O27" s="1">
        <v>84</v>
      </c>
      <c r="P27" s="6">
        <v>85</v>
      </c>
      <c r="Q27" s="1" t="s">
        <v>31</v>
      </c>
      <c r="R27" s="1">
        <v>3</v>
      </c>
      <c r="S27" s="1" t="s">
        <v>31</v>
      </c>
      <c r="T27" s="6">
        <v>1</v>
      </c>
      <c r="U27" s="1">
        <v>9</v>
      </c>
      <c r="V27" s="1">
        <v>9</v>
      </c>
      <c r="W27" s="9" t="s">
        <v>25</v>
      </c>
    </row>
    <row r="28" spans="1:23" s="1" customFormat="1" x14ac:dyDescent="0.2">
      <c r="A28" s="5" t="s">
        <v>72</v>
      </c>
      <c r="B28" s="1">
        <v>1899</v>
      </c>
      <c r="C28" s="1" t="s">
        <v>22</v>
      </c>
      <c r="D28" s="1">
        <v>24</v>
      </c>
      <c r="E28" s="5">
        <v>30.18</v>
      </c>
      <c r="F28" s="6">
        <v>30.18</v>
      </c>
      <c r="G28" s="1">
        <v>44.8</v>
      </c>
      <c r="H28" s="1">
        <v>43.8</v>
      </c>
      <c r="I28" s="1">
        <v>39.6</v>
      </c>
      <c r="J28" s="6">
        <v>54</v>
      </c>
      <c r="K28" s="1">
        <v>2.7</v>
      </c>
      <c r="L28" s="6">
        <v>0.9</v>
      </c>
      <c r="M28" s="5">
        <v>0.23799999999999999</v>
      </c>
      <c r="N28" s="6">
        <v>0.26500000000000001</v>
      </c>
      <c r="O28" s="1">
        <v>80</v>
      </c>
      <c r="P28" s="6">
        <v>93</v>
      </c>
      <c r="Q28" s="1" t="s">
        <v>43</v>
      </c>
      <c r="R28" s="1">
        <v>1</v>
      </c>
      <c r="S28" s="1" t="s">
        <v>43</v>
      </c>
      <c r="T28" s="6">
        <v>1</v>
      </c>
      <c r="U28" s="1">
        <v>1</v>
      </c>
      <c r="V28" s="1">
        <v>0</v>
      </c>
      <c r="W28" s="9" t="s">
        <v>25</v>
      </c>
    </row>
    <row r="29" spans="1:23" s="1" customFormat="1" x14ac:dyDescent="0.2">
      <c r="A29" s="5" t="s">
        <v>72</v>
      </c>
      <c r="B29" s="1">
        <v>1899</v>
      </c>
      <c r="C29" s="1" t="s">
        <v>22</v>
      </c>
      <c r="D29" s="1">
        <v>25</v>
      </c>
      <c r="E29" s="5">
        <v>30.15</v>
      </c>
      <c r="F29" s="6">
        <v>30.19</v>
      </c>
      <c r="G29" s="1">
        <v>44.6</v>
      </c>
      <c r="H29" s="1">
        <v>40.4</v>
      </c>
      <c r="I29" s="1">
        <v>37.4</v>
      </c>
      <c r="J29" s="6">
        <v>51</v>
      </c>
      <c r="K29" s="1">
        <v>2.7</v>
      </c>
      <c r="L29" s="6">
        <v>1.7</v>
      </c>
      <c r="M29" s="5">
        <v>0.23499999999999999</v>
      </c>
      <c r="N29" s="6">
        <v>0.216</v>
      </c>
      <c r="O29" s="1">
        <v>80</v>
      </c>
      <c r="P29" s="6">
        <v>86</v>
      </c>
      <c r="Q29" s="1" t="s">
        <v>43</v>
      </c>
      <c r="R29" s="1">
        <v>3</v>
      </c>
      <c r="S29" s="1" t="s">
        <v>31</v>
      </c>
      <c r="T29" s="6">
        <v>3</v>
      </c>
      <c r="U29" s="1">
        <v>0</v>
      </c>
      <c r="V29" s="1">
        <v>2</v>
      </c>
      <c r="W29" s="9" t="s">
        <v>25</v>
      </c>
    </row>
    <row r="30" spans="1:23" s="1" customFormat="1" x14ac:dyDescent="0.2">
      <c r="A30" s="5" t="s">
        <v>72</v>
      </c>
      <c r="B30" s="1">
        <v>1899</v>
      </c>
      <c r="C30" s="1" t="s">
        <v>22</v>
      </c>
      <c r="D30" s="1">
        <v>26</v>
      </c>
      <c r="E30" s="5">
        <v>30.23</v>
      </c>
      <c r="F30" s="6">
        <v>30.28</v>
      </c>
      <c r="G30" s="1">
        <v>41.6</v>
      </c>
      <c r="H30" s="1">
        <v>37.799999999999997</v>
      </c>
      <c r="I30" s="1">
        <v>32.799999999999997</v>
      </c>
      <c r="J30" s="6">
        <v>46.8</v>
      </c>
      <c r="K30" s="1">
        <v>3.3</v>
      </c>
      <c r="L30" s="6">
        <v>2.5</v>
      </c>
      <c r="M30" s="5">
        <v>0.19700000000000001</v>
      </c>
      <c r="N30" s="6">
        <v>0.18</v>
      </c>
      <c r="O30" s="1">
        <v>76</v>
      </c>
      <c r="P30" s="6">
        <v>79</v>
      </c>
      <c r="Q30" s="1" t="s">
        <v>43</v>
      </c>
      <c r="R30" s="1">
        <v>2</v>
      </c>
      <c r="S30" s="1" t="s">
        <v>43</v>
      </c>
      <c r="T30" s="6">
        <v>1</v>
      </c>
      <c r="U30" s="1">
        <v>1</v>
      </c>
      <c r="V30" s="1">
        <v>0</v>
      </c>
      <c r="W30" s="9" t="s">
        <v>25</v>
      </c>
    </row>
    <row r="31" spans="1:23" s="1" customFormat="1" x14ac:dyDescent="0.2">
      <c r="A31" s="5" t="s">
        <v>72</v>
      </c>
      <c r="B31" s="1">
        <v>1899</v>
      </c>
      <c r="C31" s="1" t="s">
        <v>22</v>
      </c>
      <c r="D31" s="1">
        <v>27</v>
      </c>
      <c r="E31" s="5">
        <v>30.37</v>
      </c>
      <c r="F31" s="6">
        <v>30.49</v>
      </c>
      <c r="G31" s="1">
        <v>40.6</v>
      </c>
      <c r="H31" s="1">
        <v>40.200000000000003</v>
      </c>
      <c r="I31" s="1">
        <v>31.4</v>
      </c>
      <c r="J31" s="6">
        <v>50.2</v>
      </c>
      <c r="K31" s="1">
        <v>2.5</v>
      </c>
      <c r="L31" s="6">
        <v>0.9</v>
      </c>
      <c r="M31" s="5">
        <v>0.20300000000000001</v>
      </c>
      <c r="N31" s="6">
        <v>0.23</v>
      </c>
      <c r="O31" s="1">
        <v>80</v>
      </c>
      <c r="P31" s="6">
        <v>93</v>
      </c>
      <c r="Q31" s="1" t="s">
        <v>43</v>
      </c>
      <c r="R31" s="1">
        <v>1</v>
      </c>
      <c r="S31" s="1" t="s">
        <v>31</v>
      </c>
      <c r="T31" s="6">
        <v>3</v>
      </c>
      <c r="U31" s="1">
        <v>0</v>
      </c>
      <c r="V31" s="1">
        <v>0</v>
      </c>
      <c r="W31" s="9" t="s">
        <v>25</v>
      </c>
    </row>
    <row r="32" spans="1:23" s="1" customFormat="1" x14ac:dyDescent="0.2">
      <c r="A32" s="5" t="s">
        <v>72</v>
      </c>
      <c r="B32" s="1">
        <v>1899</v>
      </c>
      <c r="C32" s="1" t="s">
        <v>22</v>
      </c>
      <c r="D32" s="1">
        <v>28</v>
      </c>
      <c r="E32" s="5">
        <v>30.59</v>
      </c>
      <c r="F32" s="6">
        <v>30.63</v>
      </c>
      <c r="G32" s="1">
        <v>41.2</v>
      </c>
      <c r="H32" s="1">
        <v>38</v>
      </c>
      <c r="I32" s="1">
        <v>34.799999999999997</v>
      </c>
      <c r="J32" s="6">
        <v>48.2</v>
      </c>
      <c r="K32" s="1">
        <v>2.1</v>
      </c>
      <c r="L32" s="6">
        <v>0.9</v>
      </c>
      <c r="M32" s="5">
        <v>0.216</v>
      </c>
      <c r="N32" s="6">
        <v>0.21099999999999999</v>
      </c>
      <c r="O32" s="1">
        <v>83</v>
      </c>
      <c r="P32" s="6">
        <v>92</v>
      </c>
      <c r="Q32" s="1" t="s">
        <v>31</v>
      </c>
      <c r="R32" s="1">
        <v>2</v>
      </c>
      <c r="S32" s="1" t="s">
        <v>31</v>
      </c>
      <c r="T32" s="6">
        <v>2</v>
      </c>
      <c r="U32" s="1">
        <v>0</v>
      </c>
      <c r="V32" s="1">
        <v>0</v>
      </c>
      <c r="W32" s="9" t="s">
        <v>25</v>
      </c>
    </row>
    <row r="33" spans="1:23" s="1" customFormat="1" x14ac:dyDescent="0.2">
      <c r="A33" s="10"/>
      <c r="B33" s="11"/>
      <c r="C33" s="11"/>
      <c r="D33" s="12" t="s">
        <v>45</v>
      </c>
      <c r="E33" s="11">
        <v>29.728000000000002</v>
      </c>
      <c r="F33" s="12">
        <v>29.754000000000001</v>
      </c>
      <c r="G33" s="10">
        <v>44.7</v>
      </c>
      <c r="H33" s="11">
        <v>44.2</v>
      </c>
      <c r="I33" s="11">
        <v>40.200000000000003</v>
      </c>
      <c r="J33" s="12">
        <v>50.2</v>
      </c>
      <c r="K33" s="10">
        <v>2.1</v>
      </c>
      <c r="L33" s="12">
        <v>1.9</v>
      </c>
      <c r="M33" s="11">
        <v>0.254</v>
      </c>
      <c r="N33" s="11">
        <v>0.254</v>
      </c>
      <c r="O33" s="10">
        <v>84.5</v>
      </c>
      <c r="P33" s="12">
        <v>85.7</v>
      </c>
      <c r="Q33" s="10" t="s">
        <v>25</v>
      </c>
      <c r="R33" s="11">
        <v>2.8</v>
      </c>
      <c r="S33" s="11" t="s">
        <v>25</v>
      </c>
      <c r="T33" s="12">
        <v>2.5</v>
      </c>
      <c r="U33" s="10">
        <v>6.3</v>
      </c>
      <c r="V33" s="12">
        <v>5.5</v>
      </c>
      <c r="W33" s="13">
        <v>3.25</v>
      </c>
    </row>
    <row r="34" spans="1:23" x14ac:dyDescent="0.2">
      <c r="E34">
        <f>SUM(E5:E32)/28</f>
        <v>29.727142857142859</v>
      </c>
    </row>
  </sheetData>
  <mergeCells count="8">
    <mergeCell ref="K3:L3"/>
    <mergeCell ref="M3:N3"/>
    <mergeCell ref="O3:P3"/>
    <mergeCell ref="E2:F2"/>
    <mergeCell ref="G2:J2"/>
    <mergeCell ref="K2:P2"/>
    <mergeCell ref="Q2:T2"/>
    <mergeCell ref="U2:V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BBC7C-B157-4A4E-8414-C98E473BD393}">
  <dimension ref="A2:W33"/>
  <sheetViews>
    <sheetView topLeftCell="L1" workbookViewId="0">
      <selection activeCell="W34" sqref="W34"/>
    </sheetView>
  </sheetViews>
  <sheetFormatPr baseColWidth="10" defaultColWidth="8.83203125" defaultRowHeight="15" x14ac:dyDescent="0.2"/>
  <cols>
    <col min="1" max="1" width="14" customWidth="1"/>
  </cols>
  <sheetData>
    <row r="2" spans="1:23" s="2" customFormat="1" ht="32" x14ac:dyDescent="0.2">
      <c r="A2" s="14"/>
      <c r="B2" s="15"/>
      <c r="C2" s="15"/>
      <c r="D2" s="15"/>
      <c r="E2" s="31" t="s">
        <v>0</v>
      </c>
      <c r="F2" s="32"/>
      <c r="G2" s="33" t="s">
        <v>1</v>
      </c>
      <c r="H2" s="33"/>
      <c r="I2" s="33"/>
      <c r="J2" s="34"/>
      <c r="K2" s="29" t="s">
        <v>2</v>
      </c>
      <c r="L2" s="33"/>
      <c r="M2" s="33"/>
      <c r="N2" s="33"/>
      <c r="O2" s="33"/>
      <c r="P2" s="34"/>
      <c r="Q2" s="33" t="s">
        <v>3</v>
      </c>
      <c r="R2" s="33"/>
      <c r="S2" s="33"/>
      <c r="T2" s="34"/>
      <c r="U2" s="29" t="s">
        <v>4</v>
      </c>
      <c r="V2" s="30"/>
      <c r="W2" s="7" t="s">
        <v>5</v>
      </c>
    </row>
    <row r="3" spans="1:23" s="2" customFormat="1" x14ac:dyDescent="0.2">
      <c r="A3" s="3"/>
      <c r="E3" s="16"/>
      <c r="F3" s="17"/>
      <c r="J3" s="4"/>
      <c r="K3" s="35" t="s">
        <v>6</v>
      </c>
      <c r="L3" s="36"/>
      <c r="M3" s="35" t="s">
        <v>7</v>
      </c>
      <c r="N3" s="36"/>
      <c r="O3" s="37" t="s">
        <v>8</v>
      </c>
      <c r="P3" s="38"/>
      <c r="T3" s="4"/>
      <c r="V3" s="1"/>
      <c r="W3" s="18"/>
    </row>
    <row r="4" spans="1:23" s="2" customFormat="1" x14ac:dyDescent="0.2">
      <c r="A4" s="3" t="s">
        <v>9</v>
      </c>
      <c r="B4" s="2" t="s">
        <v>10</v>
      </c>
      <c r="C4" s="2" t="s">
        <v>11</v>
      </c>
      <c r="D4" s="2" t="s">
        <v>12</v>
      </c>
      <c r="E4" s="3" t="s">
        <v>13</v>
      </c>
      <c r="F4" s="4" t="s">
        <v>14</v>
      </c>
      <c r="G4" s="2" t="s">
        <v>13</v>
      </c>
      <c r="H4" s="2" t="s">
        <v>14</v>
      </c>
      <c r="I4" s="2" t="s">
        <v>15</v>
      </c>
      <c r="J4" s="4" t="s">
        <v>16</v>
      </c>
      <c r="K4" s="2" t="s">
        <v>13</v>
      </c>
      <c r="L4" s="4" t="s">
        <v>14</v>
      </c>
      <c r="M4" s="3" t="s">
        <v>13</v>
      </c>
      <c r="N4" s="4" t="s">
        <v>14</v>
      </c>
      <c r="O4" s="2" t="s">
        <v>13</v>
      </c>
      <c r="P4" s="4" t="s">
        <v>14</v>
      </c>
      <c r="Q4" s="2" t="s">
        <v>17</v>
      </c>
      <c r="R4" s="2" t="s">
        <v>18</v>
      </c>
      <c r="S4" s="2" t="s">
        <v>19</v>
      </c>
      <c r="T4" s="4" t="s">
        <v>20</v>
      </c>
      <c r="U4" s="2" t="s">
        <v>13</v>
      </c>
      <c r="V4" s="2" t="s">
        <v>14</v>
      </c>
      <c r="W4" s="8" t="s">
        <v>13</v>
      </c>
    </row>
    <row r="5" spans="1:23" s="1" customFormat="1" x14ac:dyDescent="0.2">
      <c r="A5" s="5" t="s">
        <v>73</v>
      </c>
      <c r="B5" s="1">
        <v>1899</v>
      </c>
      <c r="C5" s="1" t="s">
        <v>22</v>
      </c>
      <c r="D5" s="1">
        <v>1</v>
      </c>
      <c r="E5" s="5">
        <v>29.42</v>
      </c>
      <c r="F5" s="6">
        <v>29.36</v>
      </c>
      <c r="G5" s="1">
        <v>34.700000000000003</v>
      </c>
      <c r="H5" s="1">
        <v>32.799999999999997</v>
      </c>
      <c r="I5" s="1">
        <v>32.1</v>
      </c>
      <c r="J5" s="6">
        <v>40.299999999999997</v>
      </c>
      <c r="K5" s="1">
        <v>0.7</v>
      </c>
      <c r="L5" s="6">
        <v>0.8</v>
      </c>
      <c r="M5" s="5">
        <v>0.188</v>
      </c>
      <c r="N5" s="6">
        <v>0.17</v>
      </c>
      <c r="O5" s="1">
        <v>93</v>
      </c>
      <c r="P5" s="6">
        <v>91</v>
      </c>
      <c r="Q5" s="1" t="s">
        <v>47</v>
      </c>
      <c r="R5" s="1">
        <v>1</v>
      </c>
      <c r="S5" s="1" t="s">
        <v>24</v>
      </c>
      <c r="T5" s="6">
        <v>0.5</v>
      </c>
      <c r="U5" s="1">
        <v>10</v>
      </c>
      <c r="V5" s="1">
        <v>0</v>
      </c>
      <c r="W5" s="9" t="s">
        <v>25</v>
      </c>
    </row>
    <row r="6" spans="1:23" s="1" customFormat="1" x14ac:dyDescent="0.2">
      <c r="A6" s="5" t="s">
        <v>73</v>
      </c>
      <c r="B6" s="1">
        <v>1899</v>
      </c>
      <c r="C6" s="1" t="s">
        <v>22</v>
      </c>
      <c r="D6" s="1">
        <v>2</v>
      </c>
      <c r="E6" s="5">
        <v>29.41</v>
      </c>
      <c r="F6" s="6">
        <v>29.59</v>
      </c>
      <c r="G6" s="1">
        <v>30.2</v>
      </c>
      <c r="H6" s="1">
        <v>30.4</v>
      </c>
      <c r="I6" s="1">
        <v>28.8</v>
      </c>
      <c r="J6" s="6">
        <v>39</v>
      </c>
      <c r="K6" s="1">
        <v>0.4</v>
      </c>
      <c r="L6" s="6">
        <v>1.3</v>
      </c>
      <c r="M6" s="5">
        <v>0.157</v>
      </c>
      <c r="N6" s="6">
        <v>0.13700000000000001</v>
      </c>
      <c r="O6" s="1">
        <v>94</v>
      </c>
      <c r="P6" s="6">
        <v>80</v>
      </c>
      <c r="Q6" s="1" t="s">
        <v>47</v>
      </c>
      <c r="R6" s="1">
        <v>0.5</v>
      </c>
      <c r="S6" s="1" t="s">
        <v>47</v>
      </c>
      <c r="T6" s="6">
        <v>1</v>
      </c>
      <c r="U6" s="1">
        <v>3</v>
      </c>
      <c r="V6" s="1">
        <v>0</v>
      </c>
      <c r="W6" s="9" t="s">
        <v>25</v>
      </c>
    </row>
    <row r="7" spans="1:23" s="1" customFormat="1" x14ac:dyDescent="0.2">
      <c r="A7" s="5" t="s">
        <v>73</v>
      </c>
      <c r="B7" s="1">
        <v>1899</v>
      </c>
      <c r="C7" s="1" t="s">
        <v>22</v>
      </c>
      <c r="D7" s="1">
        <v>3</v>
      </c>
      <c r="E7" s="5">
        <v>29.78</v>
      </c>
      <c r="F7" s="6">
        <v>29.89</v>
      </c>
      <c r="G7" s="1">
        <v>28.8</v>
      </c>
      <c r="H7" s="1">
        <v>30</v>
      </c>
      <c r="I7" s="1">
        <v>27.5</v>
      </c>
      <c r="J7" s="6">
        <v>42.2</v>
      </c>
      <c r="K7" s="1">
        <v>0.2</v>
      </c>
      <c r="L7" s="6">
        <v>0.4</v>
      </c>
      <c r="M7" s="5">
        <v>0.153</v>
      </c>
      <c r="N7" s="6">
        <v>0.155</v>
      </c>
      <c r="O7" s="1">
        <v>97</v>
      </c>
      <c r="P7" s="6">
        <v>93</v>
      </c>
      <c r="Q7" s="1" t="s">
        <v>47</v>
      </c>
      <c r="R7" s="1">
        <v>2</v>
      </c>
      <c r="S7" s="1" t="s">
        <v>27</v>
      </c>
      <c r="T7" s="6">
        <v>1</v>
      </c>
      <c r="U7" s="1">
        <v>0</v>
      </c>
      <c r="V7" s="1">
        <v>0</v>
      </c>
      <c r="W7" s="9" t="s">
        <v>25</v>
      </c>
    </row>
    <row r="8" spans="1:23" s="1" customFormat="1" x14ac:dyDescent="0.2">
      <c r="A8" s="5" t="s">
        <v>73</v>
      </c>
      <c r="B8" s="1">
        <v>1899</v>
      </c>
      <c r="C8" s="1" t="s">
        <v>22</v>
      </c>
      <c r="D8" s="1">
        <v>4</v>
      </c>
      <c r="E8" s="5">
        <v>29.88</v>
      </c>
      <c r="F8" s="6">
        <v>29.68</v>
      </c>
      <c r="G8" s="1">
        <v>37</v>
      </c>
      <c r="H8" s="1">
        <v>37.9</v>
      </c>
      <c r="I8" s="1">
        <v>26</v>
      </c>
      <c r="J8" s="6">
        <v>40.200000000000003</v>
      </c>
      <c r="K8" s="1">
        <v>3.4</v>
      </c>
      <c r="L8" s="6">
        <v>1.7</v>
      </c>
      <c r="M8" s="5">
        <v>0.159</v>
      </c>
      <c r="N8" s="6">
        <v>0.19500000000000001</v>
      </c>
      <c r="O8" s="1">
        <v>72</v>
      </c>
      <c r="P8" s="6">
        <v>86</v>
      </c>
      <c r="Q8" s="1" t="s">
        <v>32</v>
      </c>
      <c r="R8" s="1">
        <v>4</v>
      </c>
      <c r="S8" s="1" t="s">
        <v>33</v>
      </c>
      <c r="T8" s="6">
        <v>1</v>
      </c>
      <c r="U8" s="1">
        <v>0</v>
      </c>
      <c r="V8" s="1">
        <v>10</v>
      </c>
      <c r="W8" s="9">
        <v>0.41</v>
      </c>
    </row>
    <row r="9" spans="1:23" s="1" customFormat="1" x14ac:dyDescent="0.2">
      <c r="A9" s="5" t="s">
        <v>73</v>
      </c>
      <c r="B9" s="1">
        <v>1899</v>
      </c>
      <c r="C9" s="1" t="s">
        <v>22</v>
      </c>
      <c r="D9" s="1">
        <v>5</v>
      </c>
      <c r="E9" s="5">
        <v>29.36</v>
      </c>
      <c r="F9" s="6">
        <v>29.69</v>
      </c>
      <c r="G9" s="1">
        <v>40.6</v>
      </c>
      <c r="H9" s="1">
        <v>37</v>
      </c>
      <c r="I9" s="1">
        <v>36.4</v>
      </c>
      <c r="J9" s="6">
        <v>41.2</v>
      </c>
      <c r="K9" s="1">
        <v>0.2</v>
      </c>
      <c r="L9" s="6">
        <v>0.8</v>
      </c>
      <c r="M9" s="5">
        <v>0.249</v>
      </c>
      <c r="N9" s="6">
        <v>0.20399999999999999</v>
      </c>
      <c r="O9" s="1">
        <v>98</v>
      </c>
      <c r="P9" s="6">
        <v>93</v>
      </c>
      <c r="Q9" s="1" t="s">
        <v>47</v>
      </c>
      <c r="R9" s="1">
        <v>0.5</v>
      </c>
      <c r="S9" s="1" t="s">
        <v>43</v>
      </c>
      <c r="T9" s="6">
        <v>2</v>
      </c>
      <c r="U9" s="1">
        <v>10</v>
      </c>
      <c r="V9" s="1">
        <v>10</v>
      </c>
      <c r="W9" s="9">
        <v>2.5000000000000001E-2</v>
      </c>
    </row>
    <row r="10" spans="1:23" s="1" customFormat="1" x14ac:dyDescent="0.2">
      <c r="A10" s="5" t="s">
        <v>73</v>
      </c>
      <c r="B10" s="1">
        <v>1899</v>
      </c>
      <c r="C10" s="1" t="s">
        <v>22</v>
      </c>
      <c r="D10" s="1">
        <v>6</v>
      </c>
      <c r="E10" s="5">
        <v>29.63</v>
      </c>
      <c r="F10" s="6">
        <v>29.57</v>
      </c>
      <c r="G10" s="1">
        <v>40.9</v>
      </c>
      <c r="H10" s="1">
        <v>38.200000000000003</v>
      </c>
      <c r="I10" s="1">
        <v>36.6</v>
      </c>
      <c r="J10" s="6">
        <v>42.1</v>
      </c>
      <c r="K10" s="1">
        <v>1.7</v>
      </c>
      <c r="L10" s="6">
        <v>0.3</v>
      </c>
      <c r="M10" s="5">
        <v>0.22</v>
      </c>
      <c r="N10" s="6">
        <v>0.224</v>
      </c>
      <c r="O10" s="1">
        <v>87</v>
      </c>
      <c r="P10" s="6">
        <v>98</v>
      </c>
      <c r="Q10" s="1" t="s">
        <v>33</v>
      </c>
      <c r="R10" s="1">
        <v>5.5</v>
      </c>
      <c r="S10" s="1" t="s">
        <v>43</v>
      </c>
      <c r="T10" s="6">
        <v>0.5</v>
      </c>
      <c r="U10" s="1">
        <v>10</v>
      </c>
      <c r="V10" s="1">
        <v>10</v>
      </c>
      <c r="W10" s="9">
        <v>0.53800000000000003</v>
      </c>
    </row>
    <row r="11" spans="1:23" s="1" customFormat="1" x14ac:dyDescent="0.2">
      <c r="A11" s="5" t="s">
        <v>73</v>
      </c>
      <c r="B11" s="1">
        <v>1899</v>
      </c>
      <c r="C11" s="1" t="s">
        <v>22</v>
      </c>
      <c r="D11" s="1">
        <v>7</v>
      </c>
      <c r="E11" s="5">
        <v>29.43</v>
      </c>
      <c r="F11" s="6">
        <v>29.44</v>
      </c>
      <c r="G11" s="1">
        <v>48.8</v>
      </c>
      <c r="H11" s="1">
        <v>50</v>
      </c>
      <c r="I11" s="1">
        <v>37.799999999999997</v>
      </c>
      <c r="J11" s="6">
        <v>54.9</v>
      </c>
      <c r="K11" s="1">
        <v>0.6</v>
      </c>
      <c r="L11" s="6">
        <v>1.1000000000000001</v>
      </c>
      <c r="M11" s="5">
        <v>0.33100000000000002</v>
      </c>
      <c r="N11" s="6">
        <v>0.33200000000000002</v>
      </c>
      <c r="O11" s="1">
        <v>95</v>
      </c>
      <c r="P11" s="6">
        <v>92</v>
      </c>
      <c r="Q11" s="1" t="s">
        <v>35</v>
      </c>
      <c r="R11" s="1">
        <v>3</v>
      </c>
      <c r="S11" s="1" t="s">
        <v>38</v>
      </c>
      <c r="T11" s="6">
        <v>2</v>
      </c>
      <c r="U11" s="1">
        <v>10</v>
      </c>
      <c r="V11" s="1">
        <v>1</v>
      </c>
      <c r="W11" s="9">
        <v>0.104</v>
      </c>
    </row>
    <row r="12" spans="1:23" s="1" customFormat="1" x14ac:dyDescent="0.2">
      <c r="A12" s="5" t="s">
        <v>73</v>
      </c>
      <c r="B12" s="1">
        <v>1899</v>
      </c>
      <c r="C12" s="1" t="s">
        <v>22</v>
      </c>
      <c r="D12" s="1">
        <v>8</v>
      </c>
      <c r="E12" s="5">
        <v>29.4</v>
      </c>
      <c r="F12" s="6">
        <v>29.28</v>
      </c>
      <c r="G12" s="1">
        <v>50.1</v>
      </c>
      <c r="H12" s="1">
        <v>51.1</v>
      </c>
      <c r="I12" s="1">
        <v>47.8</v>
      </c>
      <c r="J12" s="6">
        <v>53.6</v>
      </c>
      <c r="K12" s="1">
        <v>1.2</v>
      </c>
      <c r="L12" s="6">
        <v>1.2</v>
      </c>
      <c r="M12" s="5">
        <v>0.33100000000000002</v>
      </c>
      <c r="N12" s="6">
        <v>0.34499999999999997</v>
      </c>
      <c r="O12" s="1">
        <v>91</v>
      </c>
      <c r="P12" s="6">
        <v>91</v>
      </c>
      <c r="Q12" s="1" t="s">
        <v>38</v>
      </c>
      <c r="R12" s="1">
        <v>4</v>
      </c>
      <c r="S12" s="1" t="s">
        <v>35</v>
      </c>
      <c r="T12" s="6">
        <v>6.5</v>
      </c>
      <c r="U12" s="1">
        <v>10</v>
      </c>
      <c r="V12" s="1">
        <v>10</v>
      </c>
      <c r="W12" s="9">
        <v>0.48</v>
      </c>
    </row>
    <row r="13" spans="1:23" s="1" customFormat="1" x14ac:dyDescent="0.2">
      <c r="A13" s="5" t="s">
        <v>73</v>
      </c>
      <c r="B13" s="1">
        <v>1899</v>
      </c>
      <c r="C13" s="1" t="s">
        <v>22</v>
      </c>
      <c r="D13" s="1">
        <v>9</v>
      </c>
      <c r="E13" s="5">
        <v>29.45</v>
      </c>
      <c r="F13" s="6">
        <v>29.42</v>
      </c>
      <c r="G13" s="1">
        <v>50.7</v>
      </c>
      <c r="H13" s="1">
        <v>55.8</v>
      </c>
      <c r="I13" s="1">
        <v>47.8</v>
      </c>
      <c r="J13" s="6">
        <v>58.2</v>
      </c>
      <c r="K13" s="1">
        <v>1.6</v>
      </c>
      <c r="L13" s="6">
        <v>5.8</v>
      </c>
      <c r="M13" s="5">
        <v>0.32900000000000001</v>
      </c>
      <c r="N13" s="6">
        <v>0.29599999999999999</v>
      </c>
      <c r="O13" s="1">
        <v>89</v>
      </c>
      <c r="P13" s="6">
        <v>66</v>
      </c>
      <c r="Q13" s="1" t="s">
        <v>39</v>
      </c>
      <c r="R13" s="1">
        <v>3</v>
      </c>
      <c r="S13" s="1" t="s">
        <v>35</v>
      </c>
      <c r="T13" s="6">
        <v>5</v>
      </c>
      <c r="U13" s="1">
        <v>10</v>
      </c>
      <c r="V13" s="1">
        <v>7</v>
      </c>
      <c r="W13" s="9">
        <v>0.22700000000000001</v>
      </c>
    </row>
    <row r="14" spans="1:23" s="1" customFormat="1" x14ac:dyDescent="0.2">
      <c r="A14" s="5" t="s">
        <v>73</v>
      </c>
      <c r="B14" s="1">
        <v>1899</v>
      </c>
      <c r="C14" s="1" t="s">
        <v>22</v>
      </c>
      <c r="D14" s="1">
        <v>10</v>
      </c>
      <c r="E14" s="5">
        <v>29.42</v>
      </c>
      <c r="F14" s="6">
        <v>29.53</v>
      </c>
      <c r="G14" s="1">
        <v>54.8</v>
      </c>
      <c r="H14" s="1">
        <v>50.5</v>
      </c>
      <c r="I14" s="1">
        <v>49.9</v>
      </c>
      <c r="J14" s="6">
        <v>60.9</v>
      </c>
      <c r="K14" s="1">
        <v>4.9000000000000004</v>
      </c>
      <c r="L14" s="6">
        <v>1.8</v>
      </c>
      <c r="M14" s="5">
        <v>0.30199999999999999</v>
      </c>
      <c r="N14" s="6">
        <v>0.32200000000000001</v>
      </c>
      <c r="O14" s="1">
        <v>71</v>
      </c>
      <c r="P14" s="6">
        <v>88</v>
      </c>
      <c r="Q14" s="1" t="s">
        <v>39</v>
      </c>
      <c r="R14" s="1">
        <v>5.5</v>
      </c>
      <c r="S14" s="1" t="s">
        <v>35</v>
      </c>
      <c r="T14" s="6">
        <v>4.5</v>
      </c>
      <c r="U14" s="1">
        <v>10</v>
      </c>
      <c r="V14" s="1">
        <v>0</v>
      </c>
      <c r="W14" s="9" t="s">
        <v>25</v>
      </c>
    </row>
    <row r="15" spans="1:23" s="1" customFormat="1" x14ac:dyDescent="0.2">
      <c r="A15" s="5" t="s">
        <v>73</v>
      </c>
      <c r="B15" s="1">
        <v>1899</v>
      </c>
      <c r="C15" s="1" t="s">
        <v>22</v>
      </c>
      <c r="D15" s="1">
        <v>11</v>
      </c>
      <c r="E15" s="5">
        <v>29.53</v>
      </c>
      <c r="F15" s="6">
        <v>29.23</v>
      </c>
      <c r="G15" s="1">
        <v>50.6</v>
      </c>
      <c r="H15" s="1">
        <v>49.8</v>
      </c>
      <c r="I15" s="1">
        <v>49.1</v>
      </c>
      <c r="J15" s="6">
        <v>53.6</v>
      </c>
      <c r="K15" s="1">
        <v>2.7</v>
      </c>
      <c r="L15" s="6">
        <v>3</v>
      </c>
      <c r="M15" s="5">
        <v>0.30099999999999999</v>
      </c>
      <c r="N15" s="6">
        <v>0.28499999999999998</v>
      </c>
      <c r="O15" s="1">
        <v>81</v>
      </c>
      <c r="P15" s="6">
        <v>81</v>
      </c>
      <c r="Q15" s="1" t="s">
        <v>39</v>
      </c>
      <c r="R15" s="1">
        <v>4.5</v>
      </c>
      <c r="S15" s="1" t="s">
        <v>35</v>
      </c>
      <c r="T15" s="6">
        <v>7.5</v>
      </c>
      <c r="U15" s="1">
        <v>8</v>
      </c>
      <c r="V15" s="1">
        <v>9</v>
      </c>
      <c r="W15" s="9">
        <v>0.33500000000000002</v>
      </c>
    </row>
    <row r="16" spans="1:23" s="1" customFormat="1" x14ac:dyDescent="0.2">
      <c r="A16" s="5" t="s">
        <v>73</v>
      </c>
      <c r="B16" s="1">
        <v>1899</v>
      </c>
      <c r="C16" s="1" t="s">
        <v>22</v>
      </c>
      <c r="D16" s="1">
        <v>12</v>
      </c>
      <c r="E16" s="5">
        <v>29.2</v>
      </c>
      <c r="F16" s="6">
        <v>29.36</v>
      </c>
      <c r="G16" s="1">
        <v>45.8</v>
      </c>
      <c r="H16" s="1">
        <v>46.1</v>
      </c>
      <c r="I16" s="1">
        <v>42.5</v>
      </c>
      <c r="J16" s="6">
        <v>51.1</v>
      </c>
      <c r="K16" s="1">
        <v>2.8</v>
      </c>
      <c r="L16" s="6">
        <v>1</v>
      </c>
      <c r="M16" s="5">
        <v>0.246</v>
      </c>
      <c r="N16" s="6">
        <v>0.28799999999999998</v>
      </c>
      <c r="O16" s="1">
        <v>80</v>
      </c>
      <c r="P16" s="6">
        <v>93</v>
      </c>
      <c r="Q16" s="1" t="s">
        <v>35</v>
      </c>
      <c r="R16" s="1">
        <v>6.5</v>
      </c>
      <c r="S16" s="1" t="s">
        <v>35</v>
      </c>
      <c r="T16" s="6">
        <v>3.5</v>
      </c>
      <c r="U16" s="1">
        <v>9</v>
      </c>
      <c r="V16" s="1">
        <v>10</v>
      </c>
      <c r="W16" s="9">
        <v>0.45800000000000002</v>
      </c>
    </row>
    <row r="17" spans="1:23" s="1" customFormat="1" x14ac:dyDescent="0.2">
      <c r="A17" s="5" t="s">
        <v>73</v>
      </c>
      <c r="B17" s="1">
        <v>1899</v>
      </c>
      <c r="C17" s="1" t="s">
        <v>22</v>
      </c>
      <c r="D17" s="1">
        <v>13</v>
      </c>
      <c r="E17" s="5">
        <v>29.16</v>
      </c>
      <c r="F17" s="6">
        <v>29.22</v>
      </c>
      <c r="G17" s="1">
        <v>50.8</v>
      </c>
      <c r="H17" s="1">
        <v>48</v>
      </c>
      <c r="I17" s="1">
        <v>46.2</v>
      </c>
      <c r="J17" s="6">
        <v>53.8</v>
      </c>
      <c r="K17" s="1">
        <v>2.7</v>
      </c>
      <c r="L17" s="6">
        <v>3.9</v>
      </c>
      <c r="M17" s="5">
        <v>0.30399999999999999</v>
      </c>
      <c r="N17" s="6">
        <v>0.245</v>
      </c>
      <c r="O17" s="1">
        <v>82</v>
      </c>
      <c r="P17" s="6">
        <v>74</v>
      </c>
      <c r="Q17" s="1" t="s">
        <v>39</v>
      </c>
      <c r="R17" s="1">
        <v>8.5</v>
      </c>
      <c r="S17" s="1" t="s">
        <v>35</v>
      </c>
      <c r="T17" s="6">
        <v>6</v>
      </c>
      <c r="U17" s="1">
        <v>10</v>
      </c>
      <c r="V17" s="1">
        <v>0</v>
      </c>
      <c r="W17" s="9">
        <v>0.13</v>
      </c>
    </row>
    <row r="18" spans="1:23" s="1" customFormat="1" x14ac:dyDescent="0.2">
      <c r="A18" s="5" t="s">
        <v>73</v>
      </c>
      <c r="B18" s="1">
        <v>1899</v>
      </c>
      <c r="C18" s="1" t="s">
        <v>22</v>
      </c>
      <c r="D18" s="1">
        <v>14</v>
      </c>
      <c r="E18" s="5">
        <v>29.48</v>
      </c>
      <c r="F18" s="6">
        <v>29.58</v>
      </c>
      <c r="G18" s="1">
        <v>46.7</v>
      </c>
      <c r="H18" s="1">
        <v>47.5</v>
      </c>
      <c r="I18" s="1">
        <v>44</v>
      </c>
      <c r="J18" s="6">
        <v>51.2</v>
      </c>
      <c r="K18" s="1">
        <v>1.9</v>
      </c>
      <c r="L18" s="6">
        <v>1.9</v>
      </c>
      <c r="M18" s="5">
        <v>0.27500000000000002</v>
      </c>
      <c r="N18" s="6">
        <v>0.28299999999999997</v>
      </c>
      <c r="O18" s="1">
        <v>87</v>
      </c>
      <c r="P18" s="6">
        <v>86</v>
      </c>
      <c r="Q18" s="1" t="s">
        <v>35</v>
      </c>
      <c r="R18" s="1">
        <v>2</v>
      </c>
      <c r="S18" s="1" t="s">
        <v>35</v>
      </c>
      <c r="T18" s="6">
        <v>3</v>
      </c>
      <c r="U18" s="1">
        <v>10</v>
      </c>
      <c r="V18" s="1">
        <v>10</v>
      </c>
      <c r="W18" s="9">
        <v>1.4E-2</v>
      </c>
    </row>
    <row r="19" spans="1:23" s="1" customFormat="1" x14ac:dyDescent="0.2">
      <c r="A19" s="5" t="s">
        <v>73</v>
      </c>
      <c r="B19" s="1">
        <v>1899</v>
      </c>
      <c r="C19" s="1" t="s">
        <v>22</v>
      </c>
      <c r="D19" s="1">
        <v>15</v>
      </c>
      <c r="E19" s="5">
        <v>29.73</v>
      </c>
      <c r="F19" s="6">
        <v>29.67</v>
      </c>
      <c r="G19" s="1">
        <v>46.8</v>
      </c>
      <c r="H19" s="1">
        <v>46.3</v>
      </c>
      <c r="I19" s="1">
        <v>44.6</v>
      </c>
      <c r="J19" s="6">
        <v>50.5</v>
      </c>
      <c r="K19" s="1">
        <v>1</v>
      </c>
      <c r="L19" s="6">
        <v>0.4</v>
      </c>
      <c r="M19" s="5">
        <v>0.29599999999999999</v>
      </c>
      <c r="N19" s="6">
        <v>0.30499999999999999</v>
      </c>
      <c r="O19" s="1">
        <v>93</v>
      </c>
      <c r="P19" s="6">
        <v>97</v>
      </c>
      <c r="Q19" s="1" t="s">
        <v>39</v>
      </c>
      <c r="R19" s="1">
        <v>2</v>
      </c>
      <c r="S19" s="1" t="s">
        <v>31</v>
      </c>
      <c r="T19" s="6">
        <v>1.5</v>
      </c>
      <c r="U19" s="1">
        <v>10</v>
      </c>
      <c r="V19" s="1">
        <v>10</v>
      </c>
      <c r="W19" s="9">
        <v>0.4</v>
      </c>
    </row>
    <row r="20" spans="1:23" s="1" customFormat="1" x14ac:dyDescent="0.2">
      <c r="A20" s="5" t="s">
        <v>73</v>
      </c>
      <c r="B20" s="1">
        <v>1899</v>
      </c>
      <c r="C20" s="1" t="s">
        <v>22</v>
      </c>
      <c r="D20" s="1">
        <v>16</v>
      </c>
      <c r="E20" s="5">
        <v>29.87</v>
      </c>
      <c r="F20" s="6">
        <v>29.94</v>
      </c>
      <c r="G20" s="1">
        <v>41.4</v>
      </c>
      <c r="H20" s="1">
        <v>44.4</v>
      </c>
      <c r="I20" s="1">
        <v>37.700000000000003</v>
      </c>
      <c r="J20" s="6">
        <v>52.3</v>
      </c>
      <c r="K20" s="1">
        <v>0.3</v>
      </c>
      <c r="L20" s="6">
        <v>1.2</v>
      </c>
      <c r="M20" s="5">
        <v>0.254</v>
      </c>
      <c r="N20" s="6">
        <v>0.26500000000000001</v>
      </c>
      <c r="O20" s="1">
        <v>98</v>
      </c>
      <c r="P20" s="6">
        <v>91</v>
      </c>
      <c r="Q20" s="1" t="s">
        <v>44</v>
      </c>
      <c r="R20" s="1">
        <v>1.5</v>
      </c>
      <c r="S20" s="1" t="s">
        <v>32</v>
      </c>
      <c r="T20" s="6">
        <v>2.5</v>
      </c>
      <c r="U20" s="1">
        <v>5</v>
      </c>
      <c r="V20" s="1">
        <v>0</v>
      </c>
      <c r="W20" s="9">
        <v>0.01</v>
      </c>
    </row>
    <row r="21" spans="1:23" s="1" customFormat="1" x14ac:dyDescent="0.2">
      <c r="A21" s="5" t="s">
        <v>73</v>
      </c>
      <c r="B21" s="1">
        <v>1899</v>
      </c>
      <c r="C21" s="1" t="s">
        <v>22</v>
      </c>
      <c r="D21" s="1">
        <v>17</v>
      </c>
      <c r="E21" s="5">
        <v>29.93</v>
      </c>
      <c r="F21" s="6">
        <v>29.95</v>
      </c>
      <c r="G21" s="1">
        <v>45.6</v>
      </c>
      <c r="H21" s="1">
        <v>47.1</v>
      </c>
      <c r="I21" s="1">
        <v>40.799999999999997</v>
      </c>
      <c r="J21" s="6">
        <v>53.8</v>
      </c>
      <c r="K21" s="1">
        <v>0.8</v>
      </c>
      <c r="L21" s="6">
        <v>2.2000000000000002</v>
      </c>
      <c r="M21" s="5">
        <v>0.28799999999999998</v>
      </c>
      <c r="N21" s="6">
        <v>0.27200000000000002</v>
      </c>
      <c r="O21" s="1">
        <v>94</v>
      </c>
      <c r="P21" s="6">
        <v>84</v>
      </c>
      <c r="Q21" s="1" t="s">
        <v>31</v>
      </c>
      <c r="R21" s="1">
        <v>3</v>
      </c>
      <c r="S21" s="1" t="s">
        <v>31</v>
      </c>
      <c r="T21" s="6">
        <v>3.5</v>
      </c>
      <c r="U21" s="1">
        <v>0</v>
      </c>
      <c r="V21" s="1">
        <v>2</v>
      </c>
      <c r="W21" s="9" t="s">
        <v>25</v>
      </c>
    </row>
    <row r="22" spans="1:23" s="1" customFormat="1" x14ac:dyDescent="0.2">
      <c r="A22" s="5" t="s">
        <v>73</v>
      </c>
      <c r="B22" s="1">
        <v>1899</v>
      </c>
      <c r="C22" s="1" t="s">
        <v>22</v>
      </c>
      <c r="D22" s="1">
        <v>18</v>
      </c>
      <c r="E22" s="5">
        <v>29.96</v>
      </c>
      <c r="F22" s="6">
        <v>30.01</v>
      </c>
      <c r="G22" s="1">
        <v>47.6</v>
      </c>
      <c r="H22" s="1">
        <v>46.5</v>
      </c>
      <c r="I22" s="1">
        <v>44.2</v>
      </c>
      <c r="J22" s="6">
        <v>53.9</v>
      </c>
      <c r="K22" s="1">
        <v>1.2</v>
      </c>
      <c r="L22" s="6">
        <v>0.5</v>
      </c>
      <c r="M22" s="5">
        <v>0.3</v>
      </c>
      <c r="N22" s="6">
        <v>0.30399999999999999</v>
      </c>
      <c r="O22" s="1">
        <v>92</v>
      </c>
      <c r="P22" s="6">
        <v>96</v>
      </c>
      <c r="Q22" s="1" t="s">
        <v>33</v>
      </c>
      <c r="R22" s="1">
        <v>2.5</v>
      </c>
      <c r="S22" s="1" t="s">
        <v>36</v>
      </c>
      <c r="T22" s="6">
        <v>0</v>
      </c>
      <c r="U22" s="1">
        <v>10</v>
      </c>
      <c r="V22" s="1">
        <v>10</v>
      </c>
      <c r="W22" s="9" t="s">
        <v>25</v>
      </c>
    </row>
    <row r="23" spans="1:23" s="1" customFormat="1" x14ac:dyDescent="0.2">
      <c r="A23" s="5" t="s">
        <v>73</v>
      </c>
      <c r="B23" s="1">
        <v>1899</v>
      </c>
      <c r="C23" s="1" t="s">
        <v>22</v>
      </c>
      <c r="D23" s="1">
        <v>19</v>
      </c>
      <c r="E23" s="5">
        <v>30.12</v>
      </c>
      <c r="F23" s="6">
        <v>30.1</v>
      </c>
      <c r="G23" s="1">
        <v>42.4</v>
      </c>
      <c r="H23" s="1">
        <v>47.1</v>
      </c>
      <c r="I23" s="1">
        <v>41.9</v>
      </c>
      <c r="J23" s="6">
        <v>53.8</v>
      </c>
      <c r="K23" s="1">
        <v>0.4</v>
      </c>
      <c r="L23" s="6">
        <v>1.5</v>
      </c>
      <c r="M23" s="5">
        <v>0.26200000000000001</v>
      </c>
      <c r="N23" s="6">
        <v>0.28799999999999998</v>
      </c>
      <c r="O23" s="1">
        <v>97</v>
      </c>
      <c r="P23" s="6">
        <v>89</v>
      </c>
      <c r="Q23" s="1" t="s">
        <v>36</v>
      </c>
      <c r="R23" s="1">
        <v>0</v>
      </c>
      <c r="S23" s="1" t="s">
        <v>47</v>
      </c>
      <c r="T23" s="6">
        <v>1.5</v>
      </c>
      <c r="U23" s="1">
        <v>10</v>
      </c>
      <c r="V23" s="1">
        <v>10</v>
      </c>
      <c r="W23" s="9" t="s">
        <v>25</v>
      </c>
    </row>
    <row r="24" spans="1:23" s="1" customFormat="1" x14ac:dyDescent="0.2">
      <c r="A24" s="5" t="s">
        <v>73</v>
      </c>
      <c r="B24" s="1">
        <v>1899</v>
      </c>
      <c r="C24" s="1" t="s">
        <v>22</v>
      </c>
      <c r="D24" s="1">
        <v>20</v>
      </c>
      <c r="E24" s="5">
        <v>30.08</v>
      </c>
      <c r="F24" s="6">
        <v>30.1</v>
      </c>
      <c r="G24" s="1">
        <v>45.1</v>
      </c>
      <c r="H24" s="1">
        <v>45.7</v>
      </c>
      <c r="I24" s="1">
        <v>44.1</v>
      </c>
      <c r="J24" s="6">
        <v>48.4</v>
      </c>
      <c r="K24" s="1">
        <v>1</v>
      </c>
      <c r="L24" s="6">
        <v>1.5</v>
      </c>
      <c r="M24" s="5">
        <v>0.27600000000000002</v>
      </c>
      <c r="N24" s="6">
        <v>0.27300000000000002</v>
      </c>
      <c r="O24" s="1">
        <v>92</v>
      </c>
      <c r="P24" s="6">
        <v>90</v>
      </c>
      <c r="Q24" s="1" t="s">
        <v>43</v>
      </c>
      <c r="R24" s="1">
        <v>3</v>
      </c>
      <c r="S24" s="1" t="s">
        <v>43</v>
      </c>
      <c r="T24" s="6">
        <v>4</v>
      </c>
      <c r="U24" s="1">
        <v>10</v>
      </c>
      <c r="V24" s="1">
        <v>10</v>
      </c>
      <c r="W24" s="9" t="s">
        <v>25</v>
      </c>
    </row>
    <row r="25" spans="1:23" s="1" customFormat="1" x14ac:dyDescent="0.2">
      <c r="A25" s="5" t="s">
        <v>73</v>
      </c>
      <c r="B25" s="1">
        <v>1899</v>
      </c>
      <c r="C25" s="1" t="s">
        <v>22</v>
      </c>
      <c r="D25" s="1">
        <v>21</v>
      </c>
      <c r="E25" s="5">
        <v>30.18</v>
      </c>
      <c r="F25" s="6">
        <v>30.19</v>
      </c>
      <c r="G25" s="1">
        <v>42.8</v>
      </c>
      <c r="H25" s="1">
        <v>40.5</v>
      </c>
      <c r="I25" s="1">
        <v>39.799999999999997</v>
      </c>
      <c r="J25" s="6">
        <v>53.2</v>
      </c>
      <c r="K25" s="1">
        <v>2.6</v>
      </c>
      <c r="L25" s="6">
        <v>1.7</v>
      </c>
      <c r="M25" s="5">
        <v>0.221</v>
      </c>
      <c r="N25" s="6">
        <v>0.217</v>
      </c>
      <c r="O25" s="1">
        <v>80</v>
      </c>
      <c r="P25" s="6">
        <v>86</v>
      </c>
      <c r="Q25" s="1" t="s">
        <v>43</v>
      </c>
      <c r="R25" s="1">
        <v>3</v>
      </c>
      <c r="S25" s="1" t="s">
        <v>43</v>
      </c>
      <c r="T25" s="6">
        <v>3.5</v>
      </c>
      <c r="U25" s="1">
        <v>5</v>
      </c>
      <c r="V25" s="1">
        <v>0</v>
      </c>
      <c r="W25" s="9" t="s">
        <v>25</v>
      </c>
    </row>
    <row r="26" spans="1:23" s="1" customFormat="1" x14ac:dyDescent="0.2">
      <c r="A26" s="5" t="s">
        <v>73</v>
      </c>
      <c r="B26" s="1">
        <v>1899</v>
      </c>
      <c r="C26" s="1" t="s">
        <v>22</v>
      </c>
      <c r="D26" s="1">
        <v>22</v>
      </c>
      <c r="E26" s="5">
        <v>30.23</v>
      </c>
      <c r="F26" s="6">
        <v>30.19</v>
      </c>
      <c r="G26" s="1">
        <v>39.700000000000003</v>
      </c>
      <c r="H26" s="1">
        <v>41.9</v>
      </c>
      <c r="I26" s="1">
        <v>32.299999999999997</v>
      </c>
      <c r="J26" s="6">
        <v>54.4</v>
      </c>
      <c r="K26" s="1">
        <v>2.7</v>
      </c>
      <c r="L26" s="6">
        <v>5.7</v>
      </c>
      <c r="M26" s="5">
        <v>0.192</v>
      </c>
      <c r="N26" s="6">
        <v>0.16200000000000001</v>
      </c>
      <c r="O26" s="1">
        <v>78</v>
      </c>
      <c r="P26" s="6">
        <v>61</v>
      </c>
      <c r="Q26" s="1" t="s">
        <v>43</v>
      </c>
      <c r="R26" s="1">
        <v>2</v>
      </c>
      <c r="S26" s="1" t="s">
        <v>43</v>
      </c>
      <c r="T26" s="6">
        <v>3</v>
      </c>
      <c r="U26" s="1">
        <v>0</v>
      </c>
      <c r="V26" s="1">
        <v>0</v>
      </c>
      <c r="W26" s="9" t="s">
        <v>25</v>
      </c>
    </row>
    <row r="27" spans="1:23" s="1" customFormat="1" x14ac:dyDescent="0.2">
      <c r="A27" s="5" t="s">
        <v>73</v>
      </c>
      <c r="B27" s="1">
        <v>1899</v>
      </c>
      <c r="C27" s="1" t="s">
        <v>22</v>
      </c>
      <c r="D27" s="1">
        <v>23</v>
      </c>
      <c r="E27" s="5">
        <v>30.16</v>
      </c>
      <c r="F27" s="6">
        <v>30.19</v>
      </c>
      <c r="G27" s="1">
        <v>42.6</v>
      </c>
      <c r="H27" s="1">
        <v>39.200000000000003</v>
      </c>
      <c r="I27" s="1">
        <v>33.799999999999997</v>
      </c>
      <c r="J27" s="6">
        <v>51.6</v>
      </c>
      <c r="K27" s="1">
        <v>3.1</v>
      </c>
      <c r="L27" s="6">
        <v>1.1000000000000001</v>
      </c>
      <c r="M27" s="5">
        <v>0.21</v>
      </c>
      <c r="N27" s="6">
        <v>0.218</v>
      </c>
      <c r="O27" s="1">
        <v>78</v>
      </c>
      <c r="P27" s="6">
        <v>91</v>
      </c>
      <c r="Q27" s="1" t="s">
        <v>43</v>
      </c>
      <c r="R27" s="1">
        <v>3</v>
      </c>
      <c r="S27" s="1" t="s">
        <v>31</v>
      </c>
      <c r="T27" s="6">
        <v>0.5</v>
      </c>
      <c r="U27" s="1">
        <v>1</v>
      </c>
      <c r="V27" s="1">
        <v>1</v>
      </c>
      <c r="W27" s="9" t="s">
        <v>25</v>
      </c>
    </row>
    <row r="28" spans="1:23" s="1" customFormat="1" x14ac:dyDescent="0.2">
      <c r="A28" s="5" t="s">
        <v>73</v>
      </c>
      <c r="B28" s="1">
        <v>1899</v>
      </c>
      <c r="C28" s="1" t="s">
        <v>22</v>
      </c>
      <c r="D28" s="1">
        <v>24</v>
      </c>
      <c r="E28" s="5">
        <v>30.2</v>
      </c>
      <c r="F28" s="6">
        <v>30.2</v>
      </c>
      <c r="G28" s="1">
        <v>37.700000000000003</v>
      </c>
      <c r="H28" s="1">
        <v>38.6</v>
      </c>
      <c r="I28" s="1">
        <v>32.299999999999997</v>
      </c>
      <c r="J28" s="6">
        <v>52.7</v>
      </c>
      <c r="K28" s="1">
        <v>1</v>
      </c>
      <c r="L28" s="6">
        <v>1.6</v>
      </c>
      <c r="M28" s="5">
        <v>0.20699999999999999</v>
      </c>
      <c r="N28" s="6">
        <v>0.20300000000000001</v>
      </c>
      <c r="O28" s="1">
        <v>91</v>
      </c>
      <c r="P28" s="6">
        <v>87</v>
      </c>
      <c r="Q28" s="1" t="s">
        <v>47</v>
      </c>
      <c r="R28" s="1">
        <v>1.5</v>
      </c>
      <c r="S28" s="1" t="s">
        <v>43</v>
      </c>
      <c r="T28" s="6">
        <v>1</v>
      </c>
      <c r="U28" s="1">
        <v>5</v>
      </c>
      <c r="V28" s="1">
        <v>0</v>
      </c>
      <c r="W28" s="9" t="s">
        <v>25</v>
      </c>
    </row>
    <row r="29" spans="1:23" s="1" customFormat="1" x14ac:dyDescent="0.2">
      <c r="A29" s="5" t="s">
        <v>73</v>
      </c>
      <c r="B29" s="1">
        <v>1899</v>
      </c>
      <c r="C29" s="1" t="s">
        <v>22</v>
      </c>
      <c r="D29" s="1">
        <v>25</v>
      </c>
      <c r="E29" s="5">
        <v>30.23</v>
      </c>
      <c r="F29" s="6">
        <v>30.26</v>
      </c>
      <c r="G29" s="1">
        <v>34.799999999999997</v>
      </c>
      <c r="H29" s="1">
        <v>34.1</v>
      </c>
      <c r="I29" s="1">
        <v>30.5</v>
      </c>
      <c r="J29" s="6">
        <v>48.5</v>
      </c>
      <c r="K29" s="1">
        <v>1.5</v>
      </c>
      <c r="L29" s="6">
        <v>1.6</v>
      </c>
      <c r="M29" s="5">
        <v>0.17199999999999999</v>
      </c>
      <c r="N29" s="6">
        <v>0.16500000000000001</v>
      </c>
      <c r="O29" s="1">
        <v>85</v>
      </c>
      <c r="P29" s="6">
        <v>83</v>
      </c>
      <c r="Q29" s="1" t="s">
        <v>47</v>
      </c>
      <c r="R29" s="1">
        <v>2</v>
      </c>
      <c r="S29" s="1" t="s">
        <v>43</v>
      </c>
      <c r="T29" s="6">
        <v>2</v>
      </c>
      <c r="U29" s="1">
        <v>0</v>
      </c>
      <c r="V29" s="1">
        <v>0</v>
      </c>
      <c r="W29" s="9" t="s">
        <v>25</v>
      </c>
    </row>
    <row r="30" spans="1:23" s="1" customFormat="1" x14ac:dyDescent="0.2">
      <c r="A30" s="5" t="s">
        <v>73</v>
      </c>
      <c r="B30" s="1">
        <v>1899</v>
      </c>
      <c r="C30" s="1" t="s">
        <v>22</v>
      </c>
      <c r="D30" s="1">
        <v>26</v>
      </c>
      <c r="E30" s="5">
        <v>30.27</v>
      </c>
      <c r="F30" s="6">
        <v>30.3</v>
      </c>
      <c r="G30" s="1">
        <v>34.5</v>
      </c>
      <c r="H30" s="1">
        <v>33.1</v>
      </c>
      <c r="I30" s="1">
        <v>28.8</v>
      </c>
      <c r="J30" s="6">
        <v>47</v>
      </c>
      <c r="K30" s="1">
        <v>2.1</v>
      </c>
      <c r="L30" s="6">
        <v>1.1000000000000001</v>
      </c>
      <c r="M30" s="5">
        <v>0.159</v>
      </c>
      <c r="N30" s="6">
        <v>0.16600000000000001</v>
      </c>
      <c r="O30" s="1">
        <v>79</v>
      </c>
      <c r="P30" s="6">
        <v>88</v>
      </c>
      <c r="Q30" s="1" t="s">
        <v>47</v>
      </c>
      <c r="R30" s="1">
        <v>1.5</v>
      </c>
      <c r="S30" s="1" t="s">
        <v>31</v>
      </c>
      <c r="T30" s="6">
        <v>1</v>
      </c>
      <c r="U30" s="1">
        <v>0</v>
      </c>
      <c r="V30" s="1">
        <v>0</v>
      </c>
      <c r="W30" s="9" t="s">
        <v>25</v>
      </c>
    </row>
    <row r="31" spans="1:23" s="1" customFormat="1" x14ac:dyDescent="0.2">
      <c r="A31" s="5" t="s">
        <v>73</v>
      </c>
      <c r="B31" s="1">
        <v>1899</v>
      </c>
      <c r="C31" s="1" t="s">
        <v>22</v>
      </c>
      <c r="D31" s="1">
        <v>27</v>
      </c>
      <c r="E31" s="5">
        <v>30.42</v>
      </c>
      <c r="F31" s="6">
        <v>30.52</v>
      </c>
      <c r="G31" s="1">
        <v>34</v>
      </c>
      <c r="H31" s="1">
        <v>34.700000000000003</v>
      </c>
      <c r="I31" s="1">
        <v>28.1</v>
      </c>
      <c r="J31" s="6">
        <v>48.1</v>
      </c>
      <c r="K31" s="1">
        <v>1.8</v>
      </c>
      <c r="L31" s="6">
        <v>1</v>
      </c>
      <c r="M31" s="5">
        <v>0.16</v>
      </c>
      <c r="N31" s="6">
        <v>0.182</v>
      </c>
      <c r="O31" s="1">
        <v>81</v>
      </c>
      <c r="P31" s="6">
        <v>91</v>
      </c>
      <c r="Q31" s="1" t="s">
        <v>47</v>
      </c>
      <c r="R31" s="1">
        <v>1.5</v>
      </c>
      <c r="S31" s="1" t="s">
        <v>38</v>
      </c>
      <c r="T31" s="6">
        <v>1</v>
      </c>
      <c r="U31" s="1">
        <v>0</v>
      </c>
      <c r="V31" s="1">
        <v>0</v>
      </c>
      <c r="W31" s="9" t="s">
        <v>25</v>
      </c>
    </row>
    <row r="32" spans="1:23" s="1" customFormat="1" x14ac:dyDescent="0.2">
      <c r="A32" s="5" t="s">
        <v>73</v>
      </c>
      <c r="B32" s="1">
        <v>1899</v>
      </c>
      <c r="C32" s="1" t="s">
        <v>22</v>
      </c>
      <c r="D32" s="1">
        <v>28</v>
      </c>
      <c r="E32" s="5">
        <v>30.64</v>
      </c>
      <c r="F32" s="6">
        <v>30.62</v>
      </c>
      <c r="G32" s="1">
        <v>30.2</v>
      </c>
      <c r="H32" s="1">
        <v>35.799999999999997</v>
      </c>
      <c r="I32" s="1">
        <v>25.5</v>
      </c>
      <c r="J32" s="6">
        <v>50.3</v>
      </c>
      <c r="K32" s="1">
        <v>0.1</v>
      </c>
      <c r="L32" s="6">
        <v>1</v>
      </c>
      <c r="M32" s="5">
        <v>0.16600000000000001</v>
      </c>
      <c r="N32" s="6">
        <v>0.193</v>
      </c>
      <c r="O32" s="1">
        <v>99</v>
      </c>
      <c r="P32" s="6">
        <v>92</v>
      </c>
      <c r="Q32" s="1" t="s">
        <v>47</v>
      </c>
      <c r="R32" s="1">
        <v>0.1</v>
      </c>
      <c r="S32" s="1" t="s">
        <v>35</v>
      </c>
      <c r="T32" s="6">
        <v>1</v>
      </c>
      <c r="U32" s="1">
        <v>10</v>
      </c>
      <c r="V32" s="1">
        <v>0</v>
      </c>
      <c r="W32" s="9" t="s">
        <v>25</v>
      </c>
    </row>
    <row r="33" spans="1:23" s="1" customFormat="1" x14ac:dyDescent="0.2">
      <c r="A33" s="10"/>
      <c r="B33" s="11"/>
      <c r="C33" s="11"/>
      <c r="D33" s="12" t="s">
        <v>45</v>
      </c>
      <c r="E33" s="11">
        <v>29.806000000000001</v>
      </c>
      <c r="F33" s="12">
        <v>29.824000000000002</v>
      </c>
      <c r="G33" s="10">
        <v>42</v>
      </c>
      <c r="H33" s="11">
        <v>42.1</v>
      </c>
      <c r="I33" s="11">
        <v>37.700000000000003</v>
      </c>
      <c r="J33" s="12">
        <v>50</v>
      </c>
      <c r="K33" s="10">
        <v>1.6</v>
      </c>
      <c r="L33" s="12">
        <v>1.7</v>
      </c>
      <c r="M33" s="11">
        <v>0.24</v>
      </c>
      <c r="N33" s="11">
        <v>0.23899999999999999</v>
      </c>
      <c r="O33" s="10">
        <v>87.6</v>
      </c>
      <c r="P33" s="12">
        <v>87.1</v>
      </c>
      <c r="Q33" s="10" t="s">
        <v>25</v>
      </c>
      <c r="R33" s="11">
        <v>2.8</v>
      </c>
      <c r="S33" s="11" t="s">
        <v>25</v>
      </c>
      <c r="T33" s="12">
        <v>2.5</v>
      </c>
      <c r="U33" s="10">
        <v>6.3</v>
      </c>
      <c r="V33" s="12">
        <v>4.3</v>
      </c>
      <c r="W33" s="13">
        <v>3.1309999999999998</v>
      </c>
    </row>
  </sheetData>
  <mergeCells count="8">
    <mergeCell ref="K3:L3"/>
    <mergeCell ref="M3:N3"/>
    <mergeCell ref="O3:P3"/>
    <mergeCell ref="E2:F2"/>
    <mergeCell ref="G2:J2"/>
    <mergeCell ref="K2:P2"/>
    <mergeCell ref="Q2:T2"/>
    <mergeCell ref="U2:V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9C1B2-8C1C-4225-9D26-AF6DAC2640AF}">
  <dimension ref="A2:W33"/>
  <sheetViews>
    <sheetView topLeftCell="N5" workbookViewId="0">
      <selection activeCell="X34" sqref="X34"/>
    </sheetView>
  </sheetViews>
  <sheetFormatPr baseColWidth="10" defaultColWidth="8.83203125" defaultRowHeight="15" x14ac:dyDescent="0.2"/>
  <cols>
    <col min="1" max="1" width="14" customWidth="1"/>
  </cols>
  <sheetData>
    <row r="2" spans="1:23" s="2" customFormat="1" ht="32" x14ac:dyDescent="0.2">
      <c r="A2" s="14"/>
      <c r="B2" s="15"/>
      <c r="C2" s="15"/>
      <c r="D2" s="15"/>
      <c r="E2" s="31" t="s">
        <v>0</v>
      </c>
      <c r="F2" s="32"/>
      <c r="G2" s="33" t="s">
        <v>1</v>
      </c>
      <c r="H2" s="33"/>
      <c r="I2" s="33"/>
      <c r="J2" s="34"/>
      <c r="K2" s="29" t="s">
        <v>2</v>
      </c>
      <c r="L2" s="33"/>
      <c r="M2" s="33"/>
      <c r="N2" s="33"/>
      <c r="O2" s="33"/>
      <c r="P2" s="34"/>
      <c r="Q2" s="33" t="s">
        <v>3</v>
      </c>
      <c r="R2" s="33"/>
      <c r="S2" s="33"/>
      <c r="T2" s="34"/>
      <c r="U2" s="29" t="s">
        <v>4</v>
      </c>
      <c r="V2" s="30"/>
      <c r="W2" s="7" t="s">
        <v>5</v>
      </c>
    </row>
    <row r="3" spans="1:23" s="2" customFormat="1" x14ac:dyDescent="0.2">
      <c r="A3" s="3"/>
      <c r="E3" s="16"/>
      <c r="F3" s="17"/>
      <c r="J3" s="4"/>
      <c r="K3" s="35" t="s">
        <v>6</v>
      </c>
      <c r="L3" s="36"/>
      <c r="M3" s="35" t="s">
        <v>7</v>
      </c>
      <c r="N3" s="36"/>
      <c r="O3" s="37" t="s">
        <v>8</v>
      </c>
      <c r="P3" s="38"/>
      <c r="T3" s="4"/>
      <c r="V3" s="1"/>
      <c r="W3" s="18"/>
    </row>
    <row r="4" spans="1:23" s="2" customFormat="1" x14ac:dyDescent="0.2">
      <c r="A4" s="3" t="s">
        <v>9</v>
      </c>
      <c r="B4" s="2" t="s">
        <v>10</v>
      </c>
      <c r="C4" s="2" t="s">
        <v>11</v>
      </c>
      <c r="D4" s="2" t="s">
        <v>12</v>
      </c>
      <c r="E4" s="3" t="s">
        <v>13</v>
      </c>
      <c r="F4" s="4" t="s">
        <v>14</v>
      </c>
      <c r="G4" s="2" t="s">
        <v>13</v>
      </c>
      <c r="H4" s="2" t="s">
        <v>14</v>
      </c>
      <c r="I4" s="2" t="s">
        <v>15</v>
      </c>
      <c r="J4" s="4" t="s">
        <v>16</v>
      </c>
      <c r="K4" s="2" t="s">
        <v>13</v>
      </c>
      <c r="L4" s="4" t="s">
        <v>14</v>
      </c>
      <c r="M4" s="3" t="s">
        <v>13</v>
      </c>
      <c r="N4" s="4" t="s">
        <v>14</v>
      </c>
      <c r="O4" s="2" t="s">
        <v>13</v>
      </c>
      <c r="P4" s="4" t="s">
        <v>14</v>
      </c>
      <c r="Q4" s="2" t="s">
        <v>17</v>
      </c>
      <c r="R4" s="2" t="s">
        <v>18</v>
      </c>
      <c r="S4" s="2" t="s">
        <v>19</v>
      </c>
      <c r="T4" s="4" t="s">
        <v>20</v>
      </c>
      <c r="U4" s="2" t="s">
        <v>13</v>
      </c>
      <c r="V4" s="2" t="s">
        <v>14</v>
      </c>
      <c r="W4" s="8" t="s">
        <v>13</v>
      </c>
    </row>
    <row r="5" spans="1:23" s="1" customFormat="1" x14ac:dyDescent="0.2">
      <c r="A5" s="5" t="s">
        <v>74</v>
      </c>
      <c r="B5" s="1">
        <v>1899</v>
      </c>
      <c r="C5" s="1" t="s">
        <v>22</v>
      </c>
      <c r="D5" s="1">
        <v>1</v>
      </c>
      <c r="E5" s="5">
        <v>29.35</v>
      </c>
      <c r="F5" s="6">
        <v>29.29</v>
      </c>
      <c r="G5" s="1">
        <v>37.6</v>
      </c>
      <c r="H5" s="1">
        <v>38.4</v>
      </c>
      <c r="I5" s="1">
        <v>36.6</v>
      </c>
      <c r="J5" s="6">
        <v>39.200000000000003</v>
      </c>
      <c r="K5" s="1">
        <v>1.8</v>
      </c>
      <c r="L5" s="6">
        <v>1.5</v>
      </c>
      <c r="M5" s="5">
        <v>0.191</v>
      </c>
      <c r="N5" s="6">
        <v>0.20200000000000001</v>
      </c>
      <c r="O5" s="1">
        <v>84</v>
      </c>
      <c r="P5" s="6">
        <v>88</v>
      </c>
      <c r="Q5" s="1" t="s">
        <v>23</v>
      </c>
      <c r="R5" s="1">
        <v>1</v>
      </c>
      <c r="S5" s="1" t="s">
        <v>47</v>
      </c>
      <c r="T5" s="6">
        <v>3</v>
      </c>
      <c r="U5" s="1">
        <v>10</v>
      </c>
      <c r="V5" s="1">
        <v>10</v>
      </c>
      <c r="W5" s="9" t="s">
        <v>25</v>
      </c>
    </row>
    <row r="6" spans="1:23" s="1" customFormat="1" x14ac:dyDescent="0.2">
      <c r="A6" s="5" t="s">
        <v>74</v>
      </c>
      <c r="B6" s="1">
        <v>1899</v>
      </c>
      <c r="C6" s="1" t="s">
        <v>22</v>
      </c>
      <c r="D6" s="1">
        <v>2</v>
      </c>
      <c r="E6" s="5">
        <v>29.35</v>
      </c>
      <c r="F6" s="6">
        <v>29.56</v>
      </c>
      <c r="G6" s="1">
        <v>34.799999999999997</v>
      </c>
      <c r="H6" s="1">
        <v>33.6</v>
      </c>
      <c r="I6" s="1">
        <v>33.1</v>
      </c>
      <c r="J6" s="6">
        <v>40</v>
      </c>
      <c r="K6" s="1">
        <v>1</v>
      </c>
      <c r="L6" s="6">
        <v>1.3</v>
      </c>
      <c r="M6" s="5">
        <v>0.182</v>
      </c>
      <c r="N6" s="6">
        <v>0.16600000000000001</v>
      </c>
      <c r="O6" s="1">
        <v>91</v>
      </c>
      <c r="P6" s="6">
        <v>86</v>
      </c>
      <c r="Q6" s="1" t="s">
        <v>24</v>
      </c>
      <c r="R6" s="1">
        <v>1</v>
      </c>
      <c r="S6" s="1" t="s">
        <v>24</v>
      </c>
      <c r="T6" s="6">
        <v>2</v>
      </c>
      <c r="U6" s="1">
        <v>4</v>
      </c>
      <c r="V6" s="1">
        <v>0</v>
      </c>
      <c r="W6" s="9" t="s">
        <v>25</v>
      </c>
    </row>
    <row r="7" spans="1:23" s="1" customFormat="1" x14ac:dyDescent="0.2">
      <c r="A7" s="5" t="s">
        <v>74</v>
      </c>
      <c r="B7" s="1">
        <v>1899</v>
      </c>
      <c r="C7" s="1" t="s">
        <v>22</v>
      </c>
      <c r="D7" s="1">
        <v>3</v>
      </c>
      <c r="E7" s="5">
        <v>29.72</v>
      </c>
      <c r="F7" s="6">
        <v>29.78</v>
      </c>
      <c r="G7" s="1">
        <v>34.1</v>
      </c>
      <c r="H7" s="1">
        <v>37</v>
      </c>
      <c r="I7" s="1">
        <v>30</v>
      </c>
      <c r="J7" s="6">
        <v>42</v>
      </c>
      <c r="K7" s="1">
        <v>1</v>
      </c>
      <c r="L7" s="6">
        <v>0.9</v>
      </c>
      <c r="M7" s="5">
        <v>0.17699999999999999</v>
      </c>
      <c r="N7" s="6">
        <v>0.20200000000000001</v>
      </c>
      <c r="O7" s="1">
        <v>89</v>
      </c>
      <c r="P7" s="6">
        <v>92</v>
      </c>
      <c r="Q7" s="1" t="s">
        <v>30</v>
      </c>
      <c r="R7" s="1">
        <v>1</v>
      </c>
      <c r="S7" s="1" t="s">
        <v>43</v>
      </c>
      <c r="T7" s="6">
        <v>3</v>
      </c>
      <c r="U7" s="1">
        <v>0</v>
      </c>
      <c r="V7" s="1">
        <v>8</v>
      </c>
      <c r="W7" s="9" t="s">
        <v>25</v>
      </c>
    </row>
    <row r="8" spans="1:23" s="1" customFormat="1" x14ac:dyDescent="0.2">
      <c r="A8" s="5" t="s">
        <v>74</v>
      </c>
      <c r="B8" s="1">
        <v>1899</v>
      </c>
      <c r="C8" s="1" t="s">
        <v>22</v>
      </c>
      <c r="D8" s="1">
        <v>4</v>
      </c>
      <c r="E8" s="5">
        <v>29.7</v>
      </c>
      <c r="F8" s="6">
        <v>29.53</v>
      </c>
      <c r="G8" s="1">
        <v>38.6</v>
      </c>
      <c r="H8" s="1">
        <v>41.3</v>
      </c>
      <c r="I8" s="1">
        <v>33.700000000000003</v>
      </c>
      <c r="J8" s="6">
        <v>42</v>
      </c>
      <c r="K8" s="1">
        <v>1.2</v>
      </c>
      <c r="L8" s="6">
        <v>0.1</v>
      </c>
      <c r="M8" s="5">
        <v>0.21099999999999999</v>
      </c>
      <c r="N8" s="6">
        <v>0.25700000000000001</v>
      </c>
      <c r="O8" s="1">
        <v>91</v>
      </c>
      <c r="P8" s="6">
        <v>100</v>
      </c>
      <c r="Q8" s="1" t="s">
        <v>33</v>
      </c>
      <c r="R8" s="1">
        <v>7</v>
      </c>
      <c r="S8" s="1" t="s">
        <v>23</v>
      </c>
      <c r="T8" s="6">
        <v>4</v>
      </c>
      <c r="U8" s="1">
        <v>10</v>
      </c>
      <c r="V8" s="1">
        <v>10</v>
      </c>
      <c r="W8" s="9">
        <v>0.69499999999999995</v>
      </c>
    </row>
    <row r="9" spans="1:23" s="1" customFormat="1" x14ac:dyDescent="0.2">
      <c r="A9" s="5" t="s">
        <v>74</v>
      </c>
      <c r="B9" s="1">
        <v>1899</v>
      </c>
      <c r="C9" s="1" t="s">
        <v>22</v>
      </c>
      <c r="D9" s="1">
        <v>5</v>
      </c>
      <c r="E9" s="5">
        <v>29.42</v>
      </c>
      <c r="F9" s="6">
        <v>29.48</v>
      </c>
      <c r="G9" s="1">
        <v>42.7</v>
      </c>
      <c r="H9" s="1">
        <v>44.3</v>
      </c>
      <c r="I9" s="1">
        <v>40.799999999999997</v>
      </c>
      <c r="J9" s="6">
        <v>51</v>
      </c>
      <c r="K9" s="1">
        <v>0.3</v>
      </c>
      <c r="L9" s="6">
        <v>1.2</v>
      </c>
      <c r="M9" s="5">
        <v>0.26800000000000002</v>
      </c>
      <c r="N9" s="6">
        <v>0.26300000000000001</v>
      </c>
      <c r="O9" s="1">
        <v>97</v>
      </c>
      <c r="P9" s="6">
        <v>91</v>
      </c>
      <c r="Q9" s="1" t="s">
        <v>44</v>
      </c>
      <c r="R9" s="1">
        <v>3</v>
      </c>
      <c r="S9" s="1" t="s">
        <v>47</v>
      </c>
      <c r="T9" s="6">
        <v>6</v>
      </c>
      <c r="U9" s="1">
        <v>3</v>
      </c>
      <c r="V9" s="1">
        <v>10</v>
      </c>
      <c r="W9" s="9">
        <v>0.84499999999999997</v>
      </c>
    </row>
    <row r="10" spans="1:23" s="1" customFormat="1" x14ac:dyDescent="0.2">
      <c r="A10" s="5" t="s">
        <v>74</v>
      </c>
      <c r="B10" s="1">
        <v>1899</v>
      </c>
      <c r="C10" s="1" t="s">
        <v>22</v>
      </c>
      <c r="D10" s="1">
        <v>6</v>
      </c>
      <c r="E10" s="5">
        <v>29.46</v>
      </c>
      <c r="F10" s="6">
        <v>29.47</v>
      </c>
      <c r="G10" s="1">
        <v>44.8</v>
      </c>
      <c r="H10" s="1">
        <v>41.3</v>
      </c>
      <c r="I10" s="1">
        <v>39.700000000000003</v>
      </c>
      <c r="J10" s="6">
        <v>48.4</v>
      </c>
      <c r="K10" s="1">
        <v>0.4</v>
      </c>
      <c r="L10" s="6">
        <v>1.4</v>
      </c>
      <c r="M10" s="5">
        <v>0.28699999999999998</v>
      </c>
      <c r="N10" s="6">
        <v>0.23100000000000001</v>
      </c>
      <c r="O10" s="1">
        <v>97</v>
      </c>
      <c r="P10" s="6">
        <v>89</v>
      </c>
      <c r="Q10" s="1" t="s">
        <v>47</v>
      </c>
      <c r="R10" s="1">
        <v>5</v>
      </c>
      <c r="S10" s="1" t="s">
        <v>43</v>
      </c>
      <c r="T10" s="6">
        <v>4</v>
      </c>
      <c r="U10" s="1">
        <v>9</v>
      </c>
      <c r="V10" s="1">
        <v>10</v>
      </c>
      <c r="W10" s="9">
        <v>0.36</v>
      </c>
    </row>
    <row r="11" spans="1:23" s="1" customFormat="1" x14ac:dyDescent="0.2">
      <c r="A11" s="5" t="s">
        <v>74</v>
      </c>
      <c r="B11" s="1">
        <v>1899</v>
      </c>
      <c r="C11" s="1" t="s">
        <v>22</v>
      </c>
      <c r="D11" s="1">
        <v>7</v>
      </c>
      <c r="E11" s="5">
        <v>29.31</v>
      </c>
      <c r="F11" s="6">
        <v>29.28</v>
      </c>
      <c r="G11" s="1">
        <v>49.9</v>
      </c>
      <c r="H11" s="1">
        <v>50.1</v>
      </c>
      <c r="I11" s="1">
        <v>40.700000000000003</v>
      </c>
      <c r="J11" s="6">
        <v>53.5</v>
      </c>
      <c r="K11" s="1">
        <v>0.1</v>
      </c>
      <c r="L11" s="6">
        <v>0.1</v>
      </c>
      <c r="M11" s="5">
        <v>0.35599999999999998</v>
      </c>
      <c r="N11" s="6">
        <v>0.36</v>
      </c>
      <c r="O11" s="1">
        <v>99</v>
      </c>
      <c r="P11" s="6">
        <v>99</v>
      </c>
      <c r="Q11" s="1" t="s">
        <v>39</v>
      </c>
      <c r="R11" s="1">
        <v>5</v>
      </c>
      <c r="S11" s="1" t="s">
        <v>31</v>
      </c>
      <c r="T11" s="6">
        <v>6</v>
      </c>
      <c r="U11" s="1">
        <v>8</v>
      </c>
      <c r="V11" s="1">
        <v>10</v>
      </c>
      <c r="W11" s="9">
        <v>0.1</v>
      </c>
    </row>
    <row r="12" spans="1:23" s="1" customFormat="1" x14ac:dyDescent="0.2">
      <c r="A12" s="5" t="s">
        <v>74</v>
      </c>
      <c r="B12" s="1">
        <v>1899</v>
      </c>
      <c r="C12" s="1" t="s">
        <v>22</v>
      </c>
      <c r="D12" s="1">
        <v>8</v>
      </c>
      <c r="E12" s="5">
        <v>29.19</v>
      </c>
      <c r="F12" s="6">
        <v>29.15</v>
      </c>
      <c r="G12" s="1">
        <v>49.4</v>
      </c>
      <c r="H12" s="1">
        <v>50.6</v>
      </c>
      <c r="I12" s="1">
        <v>45.6</v>
      </c>
      <c r="J12" s="6">
        <v>52</v>
      </c>
      <c r="K12" s="1">
        <v>0</v>
      </c>
      <c r="L12" s="6">
        <v>1.3</v>
      </c>
      <c r="M12" s="5">
        <v>0.35299999999999998</v>
      </c>
      <c r="N12" s="6">
        <v>0.33500000000000002</v>
      </c>
      <c r="O12" s="1">
        <v>100</v>
      </c>
      <c r="P12" s="6">
        <v>91</v>
      </c>
      <c r="Q12" s="1" t="s">
        <v>32</v>
      </c>
      <c r="R12" s="1">
        <v>7</v>
      </c>
      <c r="S12" s="1" t="s">
        <v>39</v>
      </c>
      <c r="T12" s="6">
        <v>7</v>
      </c>
      <c r="U12" s="1">
        <v>10</v>
      </c>
      <c r="V12" s="1">
        <v>10</v>
      </c>
      <c r="W12" s="9">
        <v>0.37</v>
      </c>
    </row>
    <row r="13" spans="1:23" s="1" customFormat="1" x14ac:dyDescent="0.2">
      <c r="A13" s="5" t="s">
        <v>74</v>
      </c>
      <c r="B13" s="1">
        <v>1899</v>
      </c>
      <c r="C13" s="1" t="s">
        <v>22</v>
      </c>
      <c r="D13" s="1">
        <v>9</v>
      </c>
      <c r="E13" s="5">
        <v>29.24</v>
      </c>
      <c r="F13" s="6">
        <v>29.27</v>
      </c>
      <c r="G13" s="1">
        <v>50.8</v>
      </c>
      <c r="H13" s="1">
        <v>54.3</v>
      </c>
      <c r="I13" s="1">
        <v>48</v>
      </c>
      <c r="J13" s="6">
        <v>56.8</v>
      </c>
      <c r="K13" s="1">
        <v>0</v>
      </c>
      <c r="L13" s="6">
        <v>4.2</v>
      </c>
      <c r="M13" s="5">
        <v>0.371</v>
      </c>
      <c r="N13" s="6">
        <v>0.31</v>
      </c>
      <c r="O13" s="1">
        <v>100</v>
      </c>
      <c r="P13" s="6">
        <v>74</v>
      </c>
      <c r="Q13" s="1" t="s">
        <v>31</v>
      </c>
      <c r="R13" s="1">
        <v>4</v>
      </c>
      <c r="S13" s="1" t="s">
        <v>38</v>
      </c>
      <c r="T13" s="6">
        <v>5</v>
      </c>
      <c r="U13" s="1">
        <v>10</v>
      </c>
      <c r="V13" s="1">
        <v>10</v>
      </c>
      <c r="W13" s="9">
        <v>0.185</v>
      </c>
    </row>
    <row r="14" spans="1:23" s="1" customFormat="1" x14ac:dyDescent="0.2">
      <c r="A14" s="5" t="s">
        <v>74</v>
      </c>
      <c r="B14" s="1">
        <v>1899</v>
      </c>
      <c r="C14" s="1" t="s">
        <v>22</v>
      </c>
      <c r="D14" s="1">
        <v>10</v>
      </c>
      <c r="E14" s="5">
        <v>29.27</v>
      </c>
      <c r="F14" s="6">
        <v>29.41</v>
      </c>
      <c r="G14" s="1">
        <v>52.8</v>
      </c>
      <c r="H14" s="1">
        <v>50.3</v>
      </c>
      <c r="I14" s="1">
        <v>50.3</v>
      </c>
      <c r="J14" s="6">
        <v>56.4</v>
      </c>
      <c r="K14" s="1">
        <v>2.7</v>
      </c>
      <c r="L14" s="6">
        <v>1.1000000000000001</v>
      </c>
      <c r="M14" s="5">
        <v>0.32800000000000001</v>
      </c>
      <c r="N14" s="6">
        <v>0.33600000000000002</v>
      </c>
      <c r="O14" s="1">
        <v>82</v>
      </c>
      <c r="P14" s="6">
        <v>92</v>
      </c>
      <c r="Q14" s="1" t="s">
        <v>32</v>
      </c>
      <c r="R14" s="1">
        <v>5</v>
      </c>
      <c r="S14" s="1" t="s">
        <v>38</v>
      </c>
      <c r="T14" s="6">
        <v>6</v>
      </c>
      <c r="U14" s="1">
        <v>10</v>
      </c>
      <c r="V14" s="1">
        <v>10</v>
      </c>
      <c r="W14" s="9">
        <v>1.4999999999999999E-2</v>
      </c>
    </row>
    <row r="15" spans="1:23" s="1" customFormat="1" x14ac:dyDescent="0.2">
      <c r="A15" s="5" t="s">
        <v>74</v>
      </c>
      <c r="B15" s="1">
        <v>1899</v>
      </c>
      <c r="C15" s="1" t="s">
        <v>22</v>
      </c>
      <c r="D15" s="1">
        <v>11</v>
      </c>
      <c r="E15" s="5">
        <v>29.35</v>
      </c>
      <c r="F15" s="6">
        <v>29.17</v>
      </c>
      <c r="G15" s="1">
        <v>50.6</v>
      </c>
      <c r="H15" s="1">
        <v>48.4</v>
      </c>
      <c r="I15" s="1">
        <v>45.9</v>
      </c>
      <c r="J15" s="6">
        <v>53.2</v>
      </c>
      <c r="K15" s="1">
        <v>0.9</v>
      </c>
      <c r="L15" s="6">
        <v>2.5</v>
      </c>
      <c r="M15" s="5">
        <v>0.34599999999999997</v>
      </c>
      <c r="N15" s="6">
        <v>0.28000000000000003</v>
      </c>
      <c r="O15" s="1">
        <v>94</v>
      </c>
      <c r="P15" s="6">
        <v>83</v>
      </c>
      <c r="Q15" s="1" t="s">
        <v>32</v>
      </c>
      <c r="R15" s="1">
        <v>4</v>
      </c>
      <c r="S15" s="1" t="s">
        <v>35</v>
      </c>
      <c r="T15" s="6">
        <v>7</v>
      </c>
      <c r="U15" s="1">
        <v>10</v>
      </c>
      <c r="V15" s="1">
        <v>4</v>
      </c>
      <c r="W15" s="9">
        <v>0.26500000000000001</v>
      </c>
    </row>
    <row r="16" spans="1:23" s="1" customFormat="1" x14ac:dyDescent="0.2">
      <c r="A16" s="5" t="s">
        <v>74</v>
      </c>
      <c r="B16" s="1">
        <v>1899</v>
      </c>
      <c r="C16" s="1" t="s">
        <v>22</v>
      </c>
      <c r="D16" s="1">
        <v>12</v>
      </c>
      <c r="E16" s="5">
        <v>29.14</v>
      </c>
      <c r="F16" s="6">
        <v>29.22</v>
      </c>
      <c r="G16" s="1">
        <v>46.6</v>
      </c>
      <c r="H16" s="1">
        <v>50.4</v>
      </c>
      <c r="I16" s="1">
        <v>40.9</v>
      </c>
      <c r="J16" s="6">
        <v>51.2</v>
      </c>
      <c r="K16" s="1">
        <v>3.7</v>
      </c>
      <c r="L16" s="6">
        <v>0.6</v>
      </c>
      <c r="M16" s="5">
        <v>0.23499999999999999</v>
      </c>
      <c r="N16" s="6">
        <v>0.35199999999999998</v>
      </c>
      <c r="O16" s="1">
        <v>74</v>
      </c>
      <c r="P16" s="6">
        <v>96</v>
      </c>
      <c r="Q16" s="1" t="s">
        <v>35</v>
      </c>
      <c r="R16" s="1">
        <v>7</v>
      </c>
      <c r="S16" s="1" t="s">
        <v>35</v>
      </c>
      <c r="T16" s="6">
        <v>7</v>
      </c>
      <c r="U16" s="1">
        <v>4</v>
      </c>
      <c r="V16" s="1">
        <v>10</v>
      </c>
      <c r="W16" s="9">
        <v>0.5</v>
      </c>
    </row>
    <row r="17" spans="1:23" s="1" customFormat="1" x14ac:dyDescent="0.2">
      <c r="A17" s="5" t="s">
        <v>74</v>
      </c>
      <c r="B17" s="1">
        <v>1899</v>
      </c>
      <c r="C17" s="1" t="s">
        <v>22</v>
      </c>
      <c r="D17" s="1">
        <v>13</v>
      </c>
      <c r="E17" s="5">
        <v>28.98</v>
      </c>
      <c r="F17" s="6">
        <v>29.15</v>
      </c>
      <c r="G17" s="1">
        <v>49.2</v>
      </c>
      <c r="H17" s="1">
        <v>44.9</v>
      </c>
      <c r="I17" s="1">
        <v>39.700000000000003</v>
      </c>
      <c r="J17" s="6">
        <v>51</v>
      </c>
      <c r="K17" s="1">
        <v>0.4</v>
      </c>
      <c r="L17" s="6">
        <v>0.2</v>
      </c>
      <c r="M17" s="5">
        <v>0.34</v>
      </c>
      <c r="N17" s="6">
        <v>0.29299999999999998</v>
      </c>
      <c r="O17" s="1">
        <v>98</v>
      </c>
      <c r="P17" s="6">
        <v>99</v>
      </c>
      <c r="Q17" s="1" t="s">
        <v>38</v>
      </c>
      <c r="R17" s="1">
        <v>7</v>
      </c>
      <c r="S17" s="1" t="s">
        <v>38</v>
      </c>
      <c r="T17" s="6">
        <v>7</v>
      </c>
      <c r="U17" s="1">
        <v>10</v>
      </c>
      <c r="V17" s="1">
        <v>0</v>
      </c>
      <c r="W17" s="9">
        <v>0.28000000000000003</v>
      </c>
    </row>
    <row r="18" spans="1:23" s="1" customFormat="1" x14ac:dyDescent="0.2">
      <c r="A18" s="5" t="s">
        <v>74</v>
      </c>
      <c r="B18" s="1">
        <v>1899</v>
      </c>
      <c r="C18" s="1" t="s">
        <v>22</v>
      </c>
      <c r="D18" s="1">
        <v>14</v>
      </c>
      <c r="E18" s="5">
        <v>29.37</v>
      </c>
      <c r="F18" s="6">
        <v>29.5</v>
      </c>
      <c r="G18" s="1">
        <v>48.1</v>
      </c>
      <c r="H18" s="1">
        <v>44.7</v>
      </c>
      <c r="I18" s="1">
        <v>39.6</v>
      </c>
      <c r="J18" s="6">
        <v>52.5</v>
      </c>
      <c r="K18" s="1">
        <v>2.2000000000000002</v>
      </c>
      <c r="L18" s="6">
        <v>0.2</v>
      </c>
      <c r="M18" s="5">
        <v>0.28199999999999997</v>
      </c>
      <c r="N18" s="6">
        <v>0.29199999999999998</v>
      </c>
      <c r="O18" s="1">
        <v>84</v>
      </c>
      <c r="P18" s="6">
        <v>98</v>
      </c>
      <c r="Q18" s="1" t="s">
        <v>38</v>
      </c>
      <c r="R18" s="1">
        <v>2</v>
      </c>
      <c r="S18" s="1" t="s">
        <v>33</v>
      </c>
      <c r="T18" s="6">
        <v>1</v>
      </c>
      <c r="U18" s="1">
        <v>7</v>
      </c>
      <c r="V18" s="1">
        <v>10</v>
      </c>
      <c r="W18" s="9">
        <v>0.5</v>
      </c>
    </row>
    <row r="19" spans="1:23" s="1" customFormat="1" x14ac:dyDescent="0.2">
      <c r="A19" s="5" t="s">
        <v>74</v>
      </c>
      <c r="B19" s="1">
        <v>1899</v>
      </c>
      <c r="C19" s="1" t="s">
        <v>22</v>
      </c>
      <c r="D19" s="1">
        <v>15</v>
      </c>
      <c r="E19" s="5">
        <v>29.65</v>
      </c>
      <c r="F19" s="6">
        <v>29.67</v>
      </c>
      <c r="G19" s="1">
        <v>45.6</v>
      </c>
      <c r="H19" s="1">
        <v>41.6</v>
      </c>
      <c r="I19" s="1">
        <v>41.3</v>
      </c>
      <c r="J19" s="6">
        <v>47.8</v>
      </c>
      <c r="K19" s="1">
        <v>0</v>
      </c>
      <c r="L19" s="6">
        <v>0.4</v>
      </c>
      <c r="M19" s="5">
        <v>0.30599999999999999</v>
      </c>
      <c r="N19" s="6">
        <v>0.254</v>
      </c>
      <c r="O19" s="1">
        <v>100</v>
      </c>
      <c r="P19" s="6">
        <v>97</v>
      </c>
      <c r="Q19" s="1" t="s">
        <v>35</v>
      </c>
      <c r="R19" s="1">
        <v>1</v>
      </c>
      <c r="S19" s="1" t="s">
        <v>29</v>
      </c>
      <c r="T19" s="6">
        <v>1</v>
      </c>
      <c r="U19" s="1">
        <v>10</v>
      </c>
      <c r="V19" s="1">
        <v>2</v>
      </c>
      <c r="W19" s="9">
        <v>0.55000000000000004</v>
      </c>
    </row>
    <row r="20" spans="1:23" s="1" customFormat="1" x14ac:dyDescent="0.2">
      <c r="A20" s="5" t="s">
        <v>74</v>
      </c>
      <c r="B20" s="1">
        <v>1899</v>
      </c>
      <c r="C20" s="1" t="s">
        <v>22</v>
      </c>
      <c r="D20" s="1">
        <v>16</v>
      </c>
      <c r="E20" s="5">
        <v>29.78</v>
      </c>
      <c r="F20" s="6">
        <v>29.82</v>
      </c>
      <c r="G20" s="1">
        <v>39.6</v>
      </c>
      <c r="H20" s="1">
        <v>43.4</v>
      </c>
      <c r="I20" s="1">
        <v>33.700000000000003</v>
      </c>
      <c r="J20" s="6">
        <v>52.3</v>
      </c>
      <c r="K20" s="1">
        <v>0.1</v>
      </c>
      <c r="L20" s="6">
        <v>0.7</v>
      </c>
      <c r="M20" s="5">
        <v>0.24199999999999999</v>
      </c>
      <c r="N20" s="6">
        <v>0.26600000000000001</v>
      </c>
      <c r="O20" s="1">
        <v>99</v>
      </c>
      <c r="P20" s="6">
        <v>95</v>
      </c>
      <c r="Q20" s="1" t="s">
        <v>30</v>
      </c>
      <c r="R20" s="1">
        <v>1</v>
      </c>
      <c r="S20" s="1" t="s">
        <v>43</v>
      </c>
      <c r="T20" s="6">
        <v>2</v>
      </c>
      <c r="U20" s="1">
        <v>9</v>
      </c>
      <c r="V20" s="1">
        <v>1</v>
      </c>
      <c r="W20" s="9" t="s">
        <v>25</v>
      </c>
    </row>
    <row r="21" spans="1:23" s="1" customFormat="1" x14ac:dyDescent="0.2">
      <c r="A21" s="5" t="s">
        <v>74</v>
      </c>
      <c r="B21" s="1">
        <v>1899</v>
      </c>
      <c r="C21" s="1" t="s">
        <v>22</v>
      </c>
      <c r="D21" s="1">
        <v>17</v>
      </c>
      <c r="E21" s="5">
        <v>29.78</v>
      </c>
      <c r="F21" s="6">
        <v>29.83</v>
      </c>
      <c r="G21" s="1">
        <v>49.8</v>
      </c>
      <c r="H21" s="1">
        <v>50.4</v>
      </c>
      <c r="I21" s="1">
        <v>41.6</v>
      </c>
      <c r="J21" s="6">
        <v>56.5</v>
      </c>
      <c r="K21" s="1">
        <v>0.7</v>
      </c>
      <c r="L21" s="6">
        <v>0.8</v>
      </c>
      <c r="M21" s="5">
        <v>0.33800000000000002</v>
      </c>
      <c r="N21" s="6">
        <v>0.34599999999999997</v>
      </c>
      <c r="O21" s="1">
        <v>94</v>
      </c>
      <c r="P21" s="6">
        <v>94</v>
      </c>
      <c r="Q21" s="1" t="s">
        <v>30</v>
      </c>
      <c r="R21" s="1">
        <v>2</v>
      </c>
      <c r="S21" s="1" t="s">
        <v>43</v>
      </c>
      <c r="T21" s="6">
        <v>2</v>
      </c>
      <c r="U21" s="1">
        <v>1</v>
      </c>
      <c r="V21" s="1">
        <v>9</v>
      </c>
      <c r="W21" s="9" t="s">
        <v>25</v>
      </c>
    </row>
    <row r="22" spans="1:23" s="1" customFormat="1" x14ac:dyDescent="0.2">
      <c r="A22" s="5" t="s">
        <v>74</v>
      </c>
      <c r="B22" s="1">
        <v>1899</v>
      </c>
      <c r="C22" s="1" t="s">
        <v>22</v>
      </c>
      <c r="D22" s="1">
        <v>18</v>
      </c>
      <c r="E22" s="5">
        <v>29.87</v>
      </c>
      <c r="F22" s="6">
        <v>29.97</v>
      </c>
      <c r="G22" s="1">
        <v>49.1</v>
      </c>
      <c r="H22" s="1">
        <v>47.1</v>
      </c>
      <c r="I22" s="1">
        <v>46.6</v>
      </c>
      <c r="J22" s="6">
        <v>52.2</v>
      </c>
      <c r="K22" s="1">
        <v>0.1</v>
      </c>
      <c r="L22" s="6">
        <v>1</v>
      </c>
      <c r="M22" s="5">
        <v>0.34699999999999998</v>
      </c>
      <c r="N22" s="6">
        <v>0.3</v>
      </c>
      <c r="O22" s="1">
        <v>99</v>
      </c>
      <c r="P22" s="6">
        <v>93</v>
      </c>
      <c r="Q22" s="1" t="s">
        <v>36</v>
      </c>
      <c r="R22" s="1">
        <v>0</v>
      </c>
      <c r="S22" s="1" t="s">
        <v>36</v>
      </c>
      <c r="T22" s="6">
        <v>0</v>
      </c>
      <c r="U22" s="1">
        <v>10</v>
      </c>
      <c r="V22" s="1">
        <v>8</v>
      </c>
      <c r="W22" s="9" t="s">
        <v>25</v>
      </c>
    </row>
    <row r="23" spans="1:23" s="1" customFormat="1" x14ac:dyDescent="0.2">
      <c r="A23" s="5" t="s">
        <v>74</v>
      </c>
      <c r="B23" s="1">
        <v>1899</v>
      </c>
      <c r="C23" s="1" t="s">
        <v>22</v>
      </c>
      <c r="D23" s="1">
        <v>19</v>
      </c>
      <c r="E23" s="5">
        <v>30.06</v>
      </c>
      <c r="F23" s="6">
        <v>30.05</v>
      </c>
      <c r="G23" s="1">
        <v>44.2</v>
      </c>
      <c r="H23" s="1">
        <v>48.1</v>
      </c>
      <c r="I23" s="1">
        <v>42.6</v>
      </c>
      <c r="J23" s="6">
        <v>51</v>
      </c>
      <c r="K23" s="1">
        <v>0.8</v>
      </c>
      <c r="L23" s="6">
        <v>3.4</v>
      </c>
      <c r="M23" s="5">
        <v>0.27200000000000002</v>
      </c>
      <c r="N23" s="6">
        <v>0.25600000000000001</v>
      </c>
      <c r="O23" s="1">
        <v>94</v>
      </c>
      <c r="P23" s="6">
        <v>76</v>
      </c>
      <c r="Q23" s="1" t="s">
        <v>36</v>
      </c>
      <c r="R23" s="1">
        <v>0</v>
      </c>
      <c r="S23" s="1" t="s">
        <v>47</v>
      </c>
      <c r="T23" s="6">
        <v>1</v>
      </c>
      <c r="U23" s="1">
        <v>9</v>
      </c>
      <c r="V23" s="1">
        <v>10</v>
      </c>
      <c r="W23" s="9" t="s">
        <v>25</v>
      </c>
    </row>
    <row r="24" spans="1:23" s="1" customFormat="1" x14ac:dyDescent="0.2">
      <c r="A24" s="5" t="s">
        <v>74</v>
      </c>
      <c r="B24" s="1">
        <v>1899</v>
      </c>
      <c r="C24" s="1" t="s">
        <v>22</v>
      </c>
      <c r="D24" s="1">
        <v>20</v>
      </c>
      <c r="E24" s="5">
        <v>29.91</v>
      </c>
      <c r="F24" s="6">
        <v>29.97</v>
      </c>
      <c r="G24" s="1">
        <v>46.9</v>
      </c>
      <c r="H24" s="1">
        <v>46.6</v>
      </c>
      <c r="I24" s="1">
        <v>46.1</v>
      </c>
      <c r="J24" s="6">
        <v>48.2</v>
      </c>
      <c r="K24" s="1">
        <v>0</v>
      </c>
      <c r="L24" s="6">
        <v>0</v>
      </c>
      <c r="M24" s="5">
        <v>0.32200000000000001</v>
      </c>
      <c r="N24" s="6">
        <v>0.318</v>
      </c>
      <c r="O24" s="1">
        <v>100</v>
      </c>
      <c r="P24" s="6">
        <v>100</v>
      </c>
      <c r="Q24" s="1" t="s">
        <v>33</v>
      </c>
      <c r="R24" s="1">
        <v>6</v>
      </c>
      <c r="S24" s="1" t="s">
        <v>31</v>
      </c>
      <c r="T24" s="6">
        <v>4</v>
      </c>
      <c r="U24" s="1">
        <v>10</v>
      </c>
      <c r="V24" s="1">
        <v>10</v>
      </c>
      <c r="W24" s="9">
        <v>0.03</v>
      </c>
    </row>
    <row r="25" spans="1:23" s="1" customFormat="1" x14ac:dyDescent="0.2">
      <c r="A25" s="5" t="s">
        <v>74</v>
      </c>
      <c r="B25" s="1">
        <v>1899</v>
      </c>
      <c r="C25" s="1" t="s">
        <v>22</v>
      </c>
      <c r="D25" s="1">
        <v>21</v>
      </c>
      <c r="E25" s="5">
        <v>30</v>
      </c>
      <c r="F25" s="6">
        <v>30.02</v>
      </c>
      <c r="G25" s="1">
        <v>45.1</v>
      </c>
      <c r="H25" s="1">
        <v>45.6</v>
      </c>
      <c r="I25" s="1">
        <v>44.6</v>
      </c>
      <c r="J25" s="6">
        <v>47</v>
      </c>
      <c r="K25" s="1">
        <v>1.4</v>
      </c>
      <c r="L25" s="6">
        <v>0.5</v>
      </c>
      <c r="M25" s="5">
        <v>0.26700000000000002</v>
      </c>
      <c r="N25" s="6">
        <v>0.29299999999999998</v>
      </c>
      <c r="O25" s="1">
        <v>89</v>
      </c>
      <c r="P25" s="6">
        <v>96</v>
      </c>
      <c r="Q25" s="1" t="s">
        <v>43</v>
      </c>
      <c r="R25" s="1">
        <v>6</v>
      </c>
      <c r="S25" s="1" t="s">
        <v>30</v>
      </c>
      <c r="T25" s="6">
        <v>6</v>
      </c>
      <c r="U25" s="1">
        <v>9</v>
      </c>
      <c r="V25" s="1">
        <v>10</v>
      </c>
      <c r="W25" s="9" t="s">
        <v>25</v>
      </c>
    </row>
    <row r="26" spans="1:23" s="1" customFormat="1" x14ac:dyDescent="0.2">
      <c r="A26" s="5" t="s">
        <v>74</v>
      </c>
      <c r="B26" s="1">
        <v>1899</v>
      </c>
      <c r="C26" s="1" t="s">
        <v>22</v>
      </c>
      <c r="D26" s="1">
        <v>22</v>
      </c>
      <c r="E26" s="5">
        <v>30.06</v>
      </c>
      <c r="F26" s="6">
        <v>30.09</v>
      </c>
      <c r="G26" s="1">
        <v>43.6</v>
      </c>
      <c r="H26" s="1">
        <v>42.9</v>
      </c>
      <c r="I26" s="1">
        <v>42.4</v>
      </c>
      <c r="J26" s="6">
        <v>47.7</v>
      </c>
      <c r="K26" s="1">
        <v>1.2</v>
      </c>
      <c r="L26" s="6">
        <v>1</v>
      </c>
      <c r="M26" s="5">
        <v>0.25700000000000001</v>
      </c>
      <c r="N26" s="6">
        <v>0.255</v>
      </c>
      <c r="O26" s="1">
        <v>90</v>
      </c>
      <c r="P26" s="6">
        <v>92</v>
      </c>
      <c r="Q26" s="1" t="s">
        <v>43</v>
      </c>
      <c r="R26" s="1">
        <v>5</v>
      </c>
      <c r="S26" s="1" t="s">
        <v>43</v>
      </c>
      <c r="T26" s="6">
        <v>2</v>
      </c>
      <c r="U26" s="1">
        <v>7</v>
      </c>
      <c r="V26" s="1">
        <v>3</v>
      </c>
      <c r="W26" s="9" t="s">
        <v>25</v>
      </c>
    </row>
    <row r="27" spans="1:23" s="1" customFormat="1" x14ac:dyDescent="0.2">
      <c r="A27" s="5" t="s">
        <v>74</v>
      </c>
      <c r="B27" s="1">
        <v>1899</v>
      </c>
      <c r="C27" s="1" t="s">
        <v>22</v>
      </c>
      <c r="D27" s="1">
        <v>23</v>
      </c>
      <c r="E27" s="5">
        <v>30.02</v>
      </c>
      <c r="F27" s="6">
        <v>30.13</v>
      </c>
      <c r="G27" s="1">
        <v>46.4</v>
      </c>
      <c r="H27" s="1">
        <v>40.6</v>
      </c>
      <c r="I27" s="1">
        <v>40.1</v>
      </c>
      <c r="J27" s="6">
        <v>51</v>
      </c>
      <c r="K27" s="1">
        <v>1.7</v>
      </c>
      <c r="L27" s="6">
        <v>0.7</v>
      </c>
      <c r="M27" s="5">
        <v>0.26500000000000001</v>
      </c>
      <c r="N27" s="6">
        <v>0.23799999999999999</v>
      </c>
      <c r="O27" s="1">
        <v>88</v>
      </c>
      <c r="P27" s="6">
        <v>94</v>
      </c>
      <c r="Q27" s="1" t="s">
        <v>33</v>
      </c>
      <c r="R27" s="1">
        <v>1</v>
      </c>
      <c r="S27" s="1" t="s">
        <v>36</v>
      </c>
      <c r="T27" s="6">
        <v>0</v>
      </c>
      <c r="U27" s="1">
        <v>6</v>
      </c>
      <c r="V27" s="1">
        <v>8</v>
      </c>
      <c r="W27" s="9" t="s">
        <v>25</v>
      </c>
    </row>
    <row r="28" spans="1:23" s="1" customFormat="1" x14ac:dyDescent="0.2">
      <c r="A28" s="5" t="s">
        <v>74</v>
      </c>
      <c r="B28" s="1">
        <v>1899</v>
      </c>
      <c r="C28" s="1" t="s">
        <v>22</v>
      </c>
      <c r="D28" s="1">
        <v>24</v>
      </c>
      <c r="E28" s="5">
        <v>30.11</v>
      </c>
      <c r="F28" s="6">
        <v>30.08</v>
      </c>
      <c r="G28" s="1">
        <v>44.6</v>
      </c>
      <c r="H28" s="1">
        <v>46.6</v>
      </c>
      <c r="I28" s="1">
        <v>37.6</v>
      </c>
      <c r="J28" s="6">
        <v>52</v>
      </c>
      <c r="K28" s="1">
        <v>1.2</v>
      </c>
      <c r="L28" s="6">
        <v>0.2</v>
      </c>
      <c r="M28" s="5">
        <v>0.26700000000000002</v>
      </c>
      <c r="N28" s="6">
        <v>0.313</v>
      </c>
      <c r="O28" s="1">
        <v>91</v>
      </c>
      <c r="P28" s="6">
        <v>99</v>
      </c>
      <c r="Q28" s="1" t="s">
        <v>36</v>
      </c>
      <c r="R28" s="1">
        <v>0</v>
      </c>
      <c r="S28" s="1" t="s">
        <v>43</v>
      </c>
      <c r="T28" s="6">
        <v>3</v>
      </c>
      <c r="U28" s="1">
        <v>5</v>
      </c>
      <c r="V28" s="1">
        <v>8</v>
      </c>
      <c r="W28" s="9" t="s">
        <v>25</v>
      </c>
    </row>
    <row r="29" spans="1:23" s="1" customFormat="1" x14ac:dyDescent="0.2">
      <c r="A29" s="5" t="s">
        <v>74</v>
      </c>
      <c r="B29" s="1">
        <v>1899</v>
      </c>
      <c r="C29" s="1" t="s">
        <v>22</v>
      </c>
      <c r="D29" s="1">
        <v>25</v>
      </c>
      <c r="E29" s="5">
        <v>30.07</v>
      </c>
      <c r="F29" s="6">
        <v>30.16</v>
      </c>
      <c r="G29" s="1">
        <v>46.1</v>
      </c>
      <c r="H29" s="1">
        <v>40.799999999999997</v>
      </c>
      <c r="I29" s="1">
        <v>40.700000000000003</v>
      </c>
      <c r="J29" s="6">
        <v>52</v>
      </c>
      <c r="K29" s="1">
        <v>1.2</v>
      </c>
      <c r="L29" s="6">
        <v>1.1000000000000001</v>
      </c>
      <c r="M29" s="5">
        <v>0.28399999999999997</v>
      </c>
      <c r="N29" s="6">
        <v>0.23200000000000001</v>
      </c>
      <c r="O29" s="1">
        <v>91</v>
      </c>
      <c r="P29" s="6">
        <v>92</v>
      </c>
      <c r="Q29" s="1" t="s">
        <v>43</v>
      </c>
      <c r="R29" s="1">
        <v>3</v>
      </c>
      <c r="S29" s="1" t="s">
        <v>43</v>
      </c>
      <c r="T29" s="6">
        <v>3</v>
      </c>
      <c r="U29" s="1">
        <v>1</v>
      </c>
      <c r="V29" s="1">
        <v>3</v>
      </c>
      <c r="W29" s="9" t="s">
        <v>25</v>
      </c>
    </row>
    <row r="30" spans="1:23" s="1" customFormat="1" x14ac:dyDescent="0.2">
      <c r="A30" s="5" t="s">
        <v>74</v>
      </c>
      <c r="B30" s="1">
        <v>1899</v>
      </c>
      <c r="C30" s="1" t="s">
        <v>22</v>
      </c>
      <c r="D30" s="1">
        <v>26</v>
      </c>
      <c r="E30" s="5">
        <v>30.16</v>
      </c>
      <c r="F30" s="6">
        <v>30.21</v>
      </c>
      <c r="G30" s="1">
        <v>41.6</v>
      </c>
      <c r="H30" s="1">
        <v>39</v>
      </c>
      <c r="I30" s="1">
        <v>33.5</v>
      </c>
      <c r="J30" s="6">
        <v>46.8</v>
      </c>
      <c r="K30" s="1">
        <v>1.7</v>
      </c>
      <c r="L30" s="6">
        <v>1.1000000000000001</v>
      </c>
      <c r="M30" s="5">
        <v>0.22800000000000001</v>
      </c>
      <c r="N30" s="6">
        <v>0.216</v>
      </c>
      <c r="O30" s="1">
        <v>87</v>
      </c>
      <c r="P30" s="6">
        <v>91</v>
      </c>
      <c r="Q30" s="1" t="s">
        <v>43</v>
      </c>
      <c r="R30" s="1">
        <v>1</v>
      </c>
      <c r="S30" s="1" t="s">
        <v>43</v>
      </c>
      <c r="T30" s="6">
        <v>1</v>
      </c>
      <c r="U30" s="1">
        <v>1</v>
      </c>
      <c r="V30" s="1">
        <v>0</v>
      </c>
      <c r="W30" s="9" t="s">
        <v>25</v>
      </c>
    </row>
    <row r="31" spans="1:23" s="1" customFormat="1" x14ac:dyDescent="0.2">
      <c r="A31" s="5" t="s">
        <v>74</v>
      </c>
      <c r="B31" s="1">
        <v>1899</v>
      </c>
      <c r="C31" s="1" t="s">
        <v>22</v>
      </c>
      <c r="D31" s="1">
        <v>27</v>
      </c>
      <c r="E31" s="5">
        <v>30.28</v>
      </c>
      <c r="F31" s="6">
        <v>30.46</v>
      </c>
      <c r="G31" s="1">
        <v>41.6</v>
      </c>
      <c r="H31" s="1">
        <v>38.6</v>
      </c>
      <c r="I31" s="1">
        <v>35.6</v>
      </c>
      <c r="J31" s="6">
        <v>50</v>
      </c>
      <c r="K31" s="1">
        <v>0.7</v>
      </c>
      <c r="L31" s="6">
        <v>0.6</v>
      </c>
      <c r="M31" s="5">
        <v>0.249</v>
      </c>
      <c r="N31" s="6">
        <v>0.222</v>
      </c>
      <c r="O31" s="1">
        <v>95</v>
      </c>
      <c r="P31" s="6">
        <v>95</v>
      </c>
      <c r="Q31" s="1" t="s">
        <v>33</v>
      </c>
      <c r="R31" s="1">
        <v>1</v>
      </c>
      <c r="S31" s="1" t="s">
        <v>36</v>
      </c>
      <c r="T31" s="6">
        <v>0</v>
      </c>
      <c r="U31" s="1">
        <v>0</v>
      </c>
      <c r="V31" s="1">
        <v>0</v>
      </c>
      <c r="W31" s="9" t="s">
        <v>25</v>
      </c>
    </row>
    <row r="32" spans="1:23" s="1" customFormat="1" x14ac:dyDescent="0.2">
      <c r="A32" s="5" t="s">
        <v>74</v>
      </c>
      <c r="B32" s="1">
        <v>1899</v>
      </c>
      <c r="C32" s="1" t="s">
        <v>22</v>
      </c>
      <c r="D32" s="1">
        <v>28</v>
      </c>
      <c r="E32" s="5">
        <v>30.52</v>
      </c>
      <c r="F32" s="6">
        <v>30.59</v>
      </c>
      <c r="G32" s="1">
        <v>39.6</v>
      </c>
      <c r="H32" s="1">
        <v>38.5</v>
      </c>
      <c r="I32" s="1">
        <v>30.4</v>
      </c>
      <c r="J32" s="6">
        <v>51</v>
      </c>
      <c r="K32" s="1">
        <v>0.7</v>
      </c>
      <c r="L32" s="6">
        <v>0</v>
      </c>
      <c r="M32" s="5">
        <v>0.22900000000000001</v>
      </c>
      <c r="N32" s="6">
        <v>0.23300000000000001</v>
      </c>
      <c r="O32" s="1">
        <v>94</v>
      </c>
      <c r="P32" s="6">
        <v>100</v>
      </c>
      <c r="Q32" s="1" t="s">
        <v>36</v>
      </c>
      <c r="R32" s="1">
        <v>0</v>
      </c>
      <c r="S32" s="1" t="s">
        <v>36</v>
      </c>
      <c r="T32" s="6">
        <v>0</v>
      </c>
      <c r="U32" s="1">
        <v>0</v>
      </c>
      <c r="V32" s="1">
        <v>0</v>
      </c>
      <c r="W32" s="9" t="s">
        <v>25</v>
      </c>
    </row>
    <row r="33" spans="1:23" s="1" customFormat="1" x14ac:dyDescent="0.2">
      <c r="A33" s="10"/>
      <c r="B33" s="11"/>
      <c r="C33" s="11"/>
      <c r="D33" s="12" t="s">
        <v>45</v>
      </c>
      <c r="E33" s="11">
        <v>29.683</v>
      </c>
      <c r="F33" s="12">
        <v>29.725000000000001</v>
      </c>
      <c r="G33" s="10">
        <v>44.8</v>
      </c>
      <c r="H33" s="11">
        <v>44.3</v>
      </c>
      <c r="I33" s="11">
        <v>40.1</v>
      </c>
      <c r="J33" s="12">
        <v>49.8</v>
      </c>
      <c r="K33" s="10">
        <v>1</v>
      </c>
      <c r="L33" s="12">
        <v>1</v>
      </c>
      <c r="M33" s="11">
        <v>0.27900000000000003</v>
      </c>
      <c r="N33" s="11">
        <v>0.27200000000000002</v>
      </c>
      <c r="O33" s="10">
        <v>92.5</v>
      </c>
      <c r="P33" s="12">
        <v>92.6</v>
      </c>
      <c r="Q33" s="10" t="s">
        <v>25</v>
      </c>
      <c r="R33" s="11">
        <v>3.1</v>
      </c>
      <c r="S33" s="11" t="s">
        <v>25</v>
      </c>
      <c r="T33" s="12">
        <v>3.3</v>
      </c>
      <c r="U33" s="10">
        <v>6.5</v>
      </c>
      <c r="V33" s="12">
        <v>6.6</v>
      </c>
      <c r="W33" s="13">
        <v>4.6950000000000003</v>
      </c>
    </row>
  </sheetData>
  <mergeCells count="8">
    <mergeCell ref="K3:L3"/>
    <mergeCell ref="M3:N3"/>
    <mergeCell ref="O3:P3"/>
    <mergeCell ref="E2:F2"/>
    <mergeCell ref="G2:J2"/>
    <mergeCell ref="K2:P2"/>
    <mergeCell ref="Q2:T2"/>
    <mergeCell ref="U2:V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AAE48-C411-4E25-8B1D-2232EA02C65B}">
  <dimension ref="A2:W34"/>
  <sheetViews>
    <sheetView topLeftCell="M10" workbookViewId="0">
      <selection activeCell="V34" sqref="V34"/>
    </sheetView>
  </sheetViews>
  <sheetFormatPr baseColWidth="10" defaultColWidth="8.83203125" defaultRowHeight="15" x14ac:dyDescent="0.2"/>
  <cols>
    <col min="1" max="1" width="14" customWidth="1"/>
  </cols>
  <sheetData>
    <row r="2" spans="1:23" s="2" customFormat="1" ht="32" x14ac:dyDescent="0.2">
      <c r="A2" s="14"/>
      <c r="B2" s="15"/>
      <c r="C2" s="15"/>
      <c r="D2" s="15"/>
      <c r="E2" s="31" t="s">
        <v>0</v>
      </c>
      <c r="F2" s="32"/>
      <c r="G2" s="33" t="s">
        <v>1</v>
      </c>
      <c r="H2" s="33"/>
      <c r="I2" s="33"/>
      <c r="J2" s="34"/>
      <c r="K2" s="29" t="s">
        <v>2</v>
      </c>
      <c r="L2" s="33"/>
      <c r="M2" s="33"/>
      <c r="N2" s="33"/>
      <c r="O2" s="33"/>
      <c r="P2" s="34"/>
      <c r="Q2" s="33" t="s">
        <v>3</v>
      </c>
      <c r="R2" s="33"/>
      <c r="S2" s="33"/>
      <c r="T2" s="34"/>
      <c r="U2" s="29" t="s">
        <v>4</v>
      </c>
      <c r="V2" s="30"/>
      <c r="W2" s="7" t="s">
        <v>5</v>
      </c>
    </row>
    <row r="3" spans="1:23" s="2" customFormat="1" x14ac:dyDescent="0.2">
      <c r="A3" s="3"/>
      <c r="E3" s="16"/>
      <c r="F3" s="17"/>
      <c r="J3" s="4"/>
      <c r="K3" s="35" t="s">
        <v>6</v>
      </c>
      <c r="L3" s="36"/>
      <c r="M3" s="35" t="s">
        <v>7</v>
      </c>
      <c r="N3" s="36"/>
      <c r="O3" s="37" t="s">
        <v>8</v>
      </c>
      <c r="P3" s="38"/>
      <c r="T3" s="4"/>
      <c r="V3" s="1"/>
      <c r="W3" s="18"/>
    </row>
    <row r="4" spans="1:23" s="2" customFormat="1" x14ac:dyDescent="0.2">
      <c r="A4" s="3" t="s">
        <v>9</v>
      </c>
      <c r="B4" s="2" t="s">
        <v>10</v>
      </c>
      <c r="C4" s="2" t="s">
        <v>11</v>
      </c>
      <c r="D4" s="2" t="s">
        <v>12</v>
      </c>
      <c r="E4" s="3" t="s">
        <v>13</v>
      </c>
      <c r="F4" s="4" t="s">
        <v>14</v>
      </c>
      <c r="G4" s="2" t="s">
        <v>13</v>
      </c>
      <c r="H4" s="2" t="s">
        <v>14</v>
      </c>
      <c r="I4" s="2" t="s">
        <v>15</v>
      </c>
      <c r="J4" s="4" t="s">
        <v>16</v>
      </c>
      <c r="K4" s="2" t="s">
        <v>13</v>
      </c>
      <c r="L4" s="4" t="s">
        <v>14</v>
      </c>
      <c r="M4" s="3" t="s">
        <v>13</v>
      </c>
      <c r="N4" s="4" t="s">
        <v>14</v>
      </c>
      <c r="O4" s="2" t="s">
        <v>13</v>
      </c>
      <c r="P4" s="4" t="s">
        <v>14</v>
      </c>
      <c r="Q4" s="2" t="s">
        <v>17</v>
      </c>
      <c r="R4" s="2" t="s">
        <v>18</v>
      </c>
      <c r="S4" s="2" t="s">
        <v>19</v>
      </c>
      <c r="T4" s="4" t="s">
        <v>20</v>
      </c>
      <c r="U4" s="2" t="s">
        <v>13</v>
      </c>
      <c r="V4" s="2" t="s">
        <v>14</v>
      </c>
      <c r="W4" s="8" t="s">
        <v>13</v>
      </c>
    </row>
    <row r="5" spans="1:23" s="1" customFormat="1" x14ac:dyDescent="0.2">
      <c r="A5" s="5" t="s">
        <v>75</v>
      </c>
      <c r="B5" s="1">
        <v>1899</v>
      </c>
      <c r="C5" s="1" t="s">
        <v>22</v>
      </c>
      <c r="D5" s="1">
        <v>1</v>
      </c>
      <c r="E5" s="5">
        <v>29.29</v>
      </c>
      <c r="F5" s="6">
        <v>29.34</v>
      </c>
      <c r="G5" s="1">
        <v>35.1</v>
      </c>
      <c r="H5" s="1">
        <v>33</v>
      </c>
      <c r="I5" s="1">
        <v>30.5</v>
      </c>
      <c r="J5" s="6">
        <v>39</v>
      </c>
      <c r="K5" s="1">
        <v>0.2</v>
      </c>
      <c r="L5" s="6">
        <v>1.6</v>
      </c>
      <c r="M5" s="5">
        <v>0.20100000000000001</v>
      </c>
      <c r="N5" s="6">
        <v>0.155</v>
      </c>
      <c r="O5" s="1">
        <v>98</v>
      </c>
      <c r="P5" s="6">
        <v>82</v>
      </c>
      <c r="Q5" s="1" t="s">
        <v>38</v>
      </c>
      <c r="R5" s="1">
        <v>0.5</v>
      </c>
      <c r="S5" s="1" t="s">
        <v>47</v>
      </c>
      <c r="T5" s="6">
        <v>1</v>
      </c>
      <c r="U5" s="1">
        <v>10</v>
      </c>
      <c r="V5" s="1">
        <v>0</v>
      </c>
      <c r="W5" s="9" t="s">
        <v>25</v>
      </c>
    </row>
    <row r="6" spans="1:23" s="1" customFormat="1" x14ac:dyDescent="0.2">
      <c r="A6" s="5" t="s">
        <v>75</v>
      </c>
      <c r="B6" s="1">
        <v>1899</v>
      </c>
      <c r="C6" s="1" t="s">
        <v>22</v>
      </c>
      <c r="D6" s="1">
        <v>2</v>
      </c>
      <c r="E6" s="5">
        <v>29.45</v>
      </c>
      <c r="F6" s="6">
        <v>29.58</v>
      </c>
      <c r="G6" s="1">
        <v>32</v>
      </c>
      <c r="H6" s="1">
        <v>27.1</v>
      </c>
      <c r="I6" s="1">
        <v>23</v>
      </c>
      <c r="J6" s="6">
        <v>39.200000000000003</v>
      </c>
      <c r="K6" s="1">
        <v>0.3</v>
      </c>
      <c r="L6" s="6">
        <v>0.4</v>
      </c>
      <c r="M6" s="5">
        <v>0.17499999999999999</v>
      </c>
      <c r="N6" s="6">
        <v>0.13500000000000001</v>
      </c>
      <c r="O6" s="1">
        <v>96</v>
      </c>
      <c r="P6" s="6">
        <v>91</v>
      </c>
      <c r="Q6" s="1" t="s">
        <v>23</v>
      </c>
      <c r="R6" s="1">
        <v>0.5</v>
      </c>
      <c r="S6" s="1" t="s">
        <v>23</v>
      </c>
      <c r="T6" s="6">
        <v>1</v>
      </c>
      <c r="U6" s="1">
        <v>8</v>
      </c>
      <c r="V6" s="1">
        <v>0</v>
      </c>
      <c r="W6" s="9" t="s">
        <v>25</v>
      </c>
    </row>
    <row r="7" spans="1:23" s="1" customFormat="1" x14ac:dyDescent="0.2">
      <c r="A7" s="5" t="s">
        <v>75</v>
      </c>
      <c r="B7" s="1">
        <v>1899</v>
      </c>
      <c r="C7" s="1" t="s">
        <v>22</v>
      </c>
      <c r="D7" s="1">
        <v>3</v>
      </c>
      <c r="E7" s="5">
        <v>29.66</v>
      </c>
      <c r="F7" s="6">
        <v>29.66</v>
      </c>
      <c r="G7" s="1">
        <v>33.700000000000003</v>
      </c>
      <c r="H7" s="1">
        <v>33.1</v>
      </c>
      <c r="I7" s="1">
        <v>24.5</v>
      </c>
      <c r="J7" s="6">
        <v>39</v>
      </c>
      <c r="K7" s="1">
        <v>0.7</v>
      </c>
      <c r="L7" s="6">
        <v>1.1000000000000001</v>
      </c>
      <c r="M7" s="5">
        <v>0.18</v>
      </c>
      <c r="N7" s="6">
        <v>0.16600000000000001</v>
      </c>
      <c r="O7" s="1">
        <v>92</v>
      </c>
      <c r="P7" s="6">
        <v>88</v>
      </c>
      <c r="Q7" s="1" t="s">
        <v>23</v>
      </c>
      <c r="R7" s="1">
        <v>0.5</v>
      </c>
      <c r="S7" s="1" t="s">
        <v>43</v>
      </c>
      <c r="T7" s="6">
        <v>2</v>
      </c>
      <c r="U7" s="1">
        <v>10</v>
      </c>
      <c r="V7" s="1">
        <v>2</v>
      </c>
      <c r="W7" s="9" t="s">
        <v>25</v>
      </c>
    </row>
    <row r="8" spans="1:23" s="1" customFormat="1" x14ac:dyDescent="0.2">
      <c r="A8" s="5" t="s">
        <v>75</v>
      </c>
      <c r="B8" s="1">
        <v>1899</v>
      </c>
      <c r="C8" s="1" t="s">
        <v>22</v>
      </c>
      <c r="D8" s="1">
        <v>4</v>
      </c>
      <c r="E8" s="5">
        <v>29.52</v>
      </c>
      <c r="F8" s="6">
        <v>29.33</v>
      </c>
      <c r="G8" s="1">
        <v>39</v>
      </c>
      <c r="H8" s="1">
        <v>40.5</v>
      </c>
      <c r="I8" s="1">
        <v>31</v>
      </c>
      <c r="J8" s="6">
        <v>40.5</v>
      </c>
      <c r="K8" s="1">
        <v>2.8</v>
      </c>
      <c r="L8" s="6">
        <v>0.2</v>
      </c>
      <c r="M8" s="5">
        <v>0.185</v>
      </c>
      <c r="N8" s="6">
        <v>0.248</v>
      </c>
      <c r="O8" s="1">
        <v>78</v>
      </c>
      <c r="P8" s="6">
        <v>98</v>
      </c>
      <c r="Q8" s="1" t="s">
        <v>31</v>
      </c>
      <c r="R8" s="1">
        <v>3</v>
      </c>
      <c r="S8" s="1" t="s">
        <v>31</v>
      </c>
      <c r="T8" s="6">
        <v>1</v>
      </c>
      <c r="U8" s="1">
        <v>10</v>
      </c>
      <c r="V8" s="1">
        <v>10</v>
      </c>
      <c r="W8" s="9">
        <v>7.0000000000000007E-2</v>
      </c>
    </row>
    <row r="9" spans="1:23" s="1" customFormat="1" x14ac:dyDescent="0.2">
      <c r="A9" s="5" t="s">
        <v>75</v>
      </c>
      <c r="B9" s="1">
        <v>1899</v>
      </c>
      <c r="C9" s="1" t="s">
        <v>22</v>
      </c>
      <c r="D9" s="1">
        <v>5</v>
      </c>
      <c r="E9" s="5">
        <v>29.38</v>
      </c>
      <c r="F9" s="6">
        <v>29.4</v>
      </c>
      <c r="G9" s="1">
        <v>39.4</v>
      </c>
      <c r="H9" s="1">
        <v>39.799999999999997</v>
      </c>
      <c r="I9" s="1">
        <v>37.700000000000003</v>
      </c>
      <c r="J9" s="6">
        <v>41.2</v>
      </c>
      <c r="K9" s="1">
        <v>0.6</v>
      </c>
      <c r="L9" s="6">
        <v>2.2000000000000002</v>
      </c>
      <c r="M9" s="5">
        <v>0.23</v>
      </c>
      <c r="N9" s="6">
        <v>0.20200000000000001</v>
      </c>
      <c r="O9" s="1">
        <v>95</v>
      </c>
      <c r="P9" s="6">
        <v>83</v>
      </c>
      <c r="Q9" s="1" t="s">
        <v>30</v>
      </c>
      <c r="R9" s="1">
        <v>2</v>
      </c>
      <c r="S9" s="1" t="s">
        <v>43</v>
      </c>
      <c r="T9" s="6">
        <v>4</v>
      </c>
      <c r="U9" s="1">
        <v>10</v>
      </c>
      <c r="V9" s="1">
        <v>10</v>
      </c>
      <c r="W9" s="9">
        <v>0.318</v>
      </c>
    </row>
    <row r="10" spans="1:23" s="1" customFormat="1" x14ac:dyDescent="0.2">
      <c r="A10" s="5" t="s">
        <v>75</v>
      </c>
      <c r="B10" s="1">
        <v>1899</v>
      </c>
      <c r="C10" s="1" t="s">
        <v>22</v>
      </c>
      <c r="D10" s="1">
        <v>6</v>
      </c>
      <c r="E10" s="5">
        <v>29.38</v>
      </c>
      <c r="F10" s="6">
        <v>29.21</v>
      </c>
      <c r="G10" s="1">
        <v>41.5</v>
      </c>
      <c r="H10" s="1">
        <v>42</v>
      </c>
      <c r="I10" s="1">
        <v>36.5</v>
      </c>
      <c r="J10" s="6">
        <v>46.6</v>
      </c>
      <c r="K10" s="1">
        <v>0.5</v>
      </c>
      <c r="L10" s="6">
        <v>1.5</v>
      </c>
      <c r="M10" s="5">
        <v>0.251</v>
      </c>
      <c r="N10" s="6">
        <v>0.23499999999999999</v>
      </c>
      <c r="O10" s="1">
        <v>95</v>
      </c>
      <c r="P10" s="6">
        <v>89</v>
      </c>
      <c r="Q10" s="1" t="s">
        <v>31</v>
      </c>
      <c r="R10" s="1">
        <v>3</v>
      </c>
      <c r="S10" s="1" t="s">
        <v>33</v>
      </c>
      <c r="T10" s="6">
        <v>4</v>
      </c>
      <c r="U10" s="1">
        <v>10</v>
      </c>
      <c r="V10" s="1">
        <v>10</v>
      </c>
      <c r="W10" s="9">
        <v>0.18</v>
      </c>
    </row>
    <row r="11" spans="1:23" s="1" customFormat="1" x14ac:dyDescent="0.2">
      <c r="A11" s="5" t="s">
        <v>75</v>
      </c>
      <c r="B11" s="1">
        <v>1899</v>
      </c>
      <c r="C11" s="1" t="s">
        <v>22</v>
      </c>
      <c r="D11" s="1">
        <v>7</v>
      </c>
      <c r="E11" s="5">
        <v>28.91</v>
      </c>
      <c r="F11" s="6">
        <v>28.94</v>
      </c>
      <c r="G11" s="1">
        <v>48</v>
      </c>
      <c r="H11" s="1">
        <v>45</v>
      </c>
      <c r="I11" s="1">
        <v>40.5</v>
      </c>
      <c r="J11" s="6">
        <v>49.2</v>
      </c>
      <c r="K11" s="1">
        <v>2.5</v>
      </c>
      <c r="L11" s="6">
        <v>0.8</v>
      </c>
      <c r="M11" s="5">
        <v>0.27400000000000002</v>
      </c>
      <c r="N11" s="6">
        <v>0.28000000000000003</v>
      </c>
      <c r="O11" s="1">
        <v>83</v>
      </c>
      <c r="P11" s="6">
        <v>94</v>
      </c>
      <c r="Q11" s="1" t="s">
        <v>32</v>
      </c>
      <c r="R11" s="1">
        <v>3</v>
      </c>
      <c r="S11" s="1" t="s">
        <v>32</v>
      </c>
      <c r="T11" s="6">
        <v>3</v>
      </c>
      <c r="U11" s="1">
        <v>10</v>
      </c>
      <c r="V11" s="1">
        <v>3</v>
      </c>
      <c r="W11" s="9">
        <v>5.7000000000000002E-2</v>
      </c>
    </row>
    <row r="12" spans="1:23" s="1" customFormat="1" x14ac:dyDescent="0.2">
      <c r="A12" s="5" t="s">
        <v>75</v>
      </c>
      <c r="B12" s="1">
        <v>1899</v>
      </c>
      <c r="C12" s="1" t="s">
        <v>22</v>
      </c>
      <c r="D12" s="1">
        <v>8</v>
      </c>
      <c r="E12" s="5">
        <v>28.83</v>
      </c>
      <c r="F12" s="6">
        <v>28.68</v>
      </c>
      <c r="G12" s="1">
        <v>47.2</v>
      </c>
      <c r="H12" s="1">
        <v>42.5</v>
      </c>
      <c r="I12" s="1">
        <v>41.2</v>
      </c>
      <c r="J12" s="6">
        <v>49.3</v>
      </c>
      <c r="K12" s="1">
        <v>2.4</v>
      </c>
      <c r="L12" s="6">
        <v>1.8</v>
      </c>
      <c r="M12" s="5">
        <v>0.26900000000000002</v>
      </c>
      <c r="N12" s="6">
        <v>0.23400000000000001</v>
      </c>
      <c r="O12" s="1">
        <v>84</v>
      </c>
      <c r="P12" s="6">
        <v>86</v>
      </c>
      <c r="Q12" s="1" t="s">
        <v>38</v>
      </c>
      <c r="R12" s="1">
        <v>3</v>
      </c>
      <c r="S12" s="1" t="s">
        <v>38</v>
      </c>
      <c r="T12" s="6">
        <v>4</v>
      </c>
      <c r="U12" s="1">
        <v>10</v>
      </c>
      <c r="V12" s="1">
        <v>8</v>
      </c>
      <c r="W12" s="9">
        <v>0.36599999999999999</v>
      </c>
    </row>
    <row r="13" spans="1:23" s="1" customFormat="1" x14ac:dyDescent="0.2">
      <c r="A13" s="5" t="s">
        <v>75</v>
      </c>
      <c r="B13" s="1">
        <v>1899</v>
      </c>
      <c r="C13" s="1" t="s">
        <v>22</v>
      </c>
      <c r="D13" s="1">
        <v>9</v>
      </c>
      <c r="E13" s="5">
        <v>28.87</v>
      </c>
      <c r="F13" s="6">
        <v>28.65</v>
      </c>
      <c r="G13" s="1">
        <v>48</v>
      </c>
      <c r="H13" s="1">
        <v>50</v>
      </c>
      <c r="I13" s="1">
        <v>41.4</v>
      </c>
      <c r="J13" s="6">
        <v>51.2</v>
      </c>
      <c r="K13" s="1">
        <v>1.3</v>
      </c>
      <c r="L13" s="6">
        <v>1.3</v>
      </c>
      <c r="M13" s="5">
        <v>0.30199999999999999</v>
      </c>
      <c r="N13" s="6">
        <v>0.32700000000000001</v>
      </c>
      <c r="O13" s="1">
        <v>91</v>
      </c>
      <c r="P13" s="6">
        <v>91</v>
      </c>
      <c r="Q13" s="1" t="s">
        <v>38</v>
      </c>
      <c r="R13" s="1">
        <v>3</v>
      </c>
      <c r="S13" s="1" t="s">
        <v>39</v>
      </c>
      <c r="T13" s="6">
        <v>6</v>
      </c>
      <c r="U13" s="1">
        <v>10</v>
      </c>
      <c r="V13" s="1">
        <v>10</v>
      </c>
      <c r="W13" s="9">
        <v>0.26200000000000001</v>
      </c>
    </row>
    <row r="14" spans="1:23" s="1" customFormat="1" x14ac:dyDescent="0.2">
      <c r="A14" s="5" t="s">
        <v>75</v>
      </c>
      <c r="B14" s="1">
        <v>1899</v>
      </c>
      <c r="C14" s="1" t="s">
        <v>22</v>
      </c>
      <c r="D14" s="1">
        <v>10</v>
      </c>
      <c r="E14" s="5">
        <v>28.79</v>
      </c>
      <c r="F14" s="6">
        <v>28.88</v>
      </c>
      <c r="G14" s="1">
        <v>49.2</v>
      </c>
      <c r="H14" s="1">
        <v>48.1</v>
      </c>
      <c r="I14" s="1">
        <v>42.5</v>
      </c>
      <c r="J14" s="6">
        <v>52.3</v>
      </c>
      <c r="K14" s="1">
        <v>1.2</v>
      </c>
      <c r="L14" s="6">
        <v>2</v>
      </c>
      <c r="M14" s="5">
        <v>0.31900000000000001</v>
      </c>
      <c r="N14" s="6">
        <v>0.28599999999999998</v>
      </c>
      <c r="O14" s="1">
        <v>92</v>
      </c>
      <c r="P14" s="6">
        <v>86</v>
      </c>
      <c r="Q14" s="1" t="s">
        <v>31</v>
      </c>
      <c r="R14" s="1">
        <v>4</v>
      </c>
      <c r="S14" s="1" t="s">
        <v>38</v>
      </c>
      <c r="T14" s="6">
        <v>4</v>
      </c>
      <c r="U14" s="1">
        <v>10</v>
      </c>
      <c r="V14" s="1">
        <v>9</v>
      </c>
      <c r="W14" s="9">
        <v>2.5000000000000001E-2</v>
      </c>
    </row>
    <row r="15" spans="1:23" s="1" customFormat="1" x14ac:dyDescent="0.2">
      <c r="A15" s="5" t="s">
        <v>75</v>
      </c>
      <c r="B15" s="1">
        <v>1899</v>
      </c>
      <c r="C15" s="1" t="s">
        <v>22</v>
      </c>
      <c r="D15" s="1">
        <v>11</v>
      </c>
      <c r="E15" s="5">
        <v>28.93</v>
      </c>
      <c r="F15" s="6">
        <v>28.69</v>
      </c>
      <c r="G15" s="1">
        <v>49.4</v>
      </c>
      <c r="H15" s="1">
        <v>44</v>
      </c>
      <c r="I15" s="1">
        <v>43.5</v>
      </c>
      <c r="J15" s="6">
        <v>52.7</v>
      </c>
      <c r="K15" s="1">
        <v>1.8</v>
      </c>
      <c r="L15" s="6">
        <v>0.5</v>
      </c>
      <c r="M15" s="5">
        <v>0.307</v>
      </c>
      <c r="N15" s="6">
        <v>0.27700000000000002</v>
      </c>
      <c r="O15" s="1">
        <v>88</v>
      </c>
      <c r="P15" s="6">
        <v>96</v>
      </c>
      <c r="Q15" s="1" t="s">
        <v>32</v>
      </c>
      <c r="R15" s="1">
        <v>3</v>
      </c>
      <c r="S15" s="1" t="s">
        <v>39</v>
      </c>
      <c r="T15" s="6">
        <v>3</v>
      </c>
      <c r="U15" s="1">
        <v>9</v>
      </c>
      <c r="V15" s="1">
        <v>10</v>
      </c>
      <c r="W15" s="9">
        <v>0.307</v>
      </c>
    </row>
    <row r="16" spans="1:23" s="1" customFormat="1" x14ac:dyDescent="0.2">
      <c r="A16" s="5" t="s">
        <v>75</v>
      </c>
      <c r="B16" s="1">
        <v>1899</v>
      </c>
      <c r="C16" s="1" t="s">
        <v>22</v>
      </c>
      <c r="D16" s="1">
        <v>12</v>
      </c>
      <c r="E16" s="5">
        <v>28.73</v>
      </c>
      <c r="F16" s="6">
        <v>28.94</v>
      </c>
      <c r="G16" s="1">
        <v>40</v>
      </c>
      <c r="H16" s="1">
        <v>39.799999999999997</v>
      </c>
      <c r="I16" s="1">
        <v>36.700000000000003</v>
      </c>
      <c r="J16" s="6">
        <v>49.3</v>
      </c>
      <c r="K16" s="1">
        <v>0.9</v>
      </c>
      <c r="L16" s="6">
        <v>0.9</v>
      </c>
      <c r="M16" s="5">
        <v>0.22800000000000001</v>
      </c>
      <c r="N16" s="6">
        <v>0.22700000000000001</v>
      </c>
      <c r="O16" s="1">
        <v>93</v>
      </c>
      <c r="P16" s="6">
        <v>93</v>
      </c>
      <c r="Q16" s="1" t="s">
        <v>35</v>
      </c>
      <c r="R16" s="1">
        <v>1</v>
      </c>
      <c r="S16" s="1" t="s">
        <v>38</v>
      </c>
      <c r="T16" s="6">
        <v>2</v>
      </c>
      <c r="U16" s="1">
        <v>10</v>
      </c>
      <c r="V16" s="1">
        <v>10</v>
      </c>
      <c r="W16" s="9">
        <v>0.06</v>
      </c>
    </row>
    <row r="17" spans="1:23" s="1" customFormat="1" x14ac:dyDescent="0.2">
      <c r="A17" s="5" t="s">
        <v>75</v>
      </c>
      <c r="B17" s="1">
        <v>1899</v>
      </c>
      <c r="C17" s="1" t="s">
        <v>22</v>
      </c>
      <c r="D17" s="1">
        <v>13</v>
      </c>
      <c r="E17" s="5">
        <v>28.5</v>
      </c>
      <c r="F17" s="6">
        <v>28.62</v>
      </c>
      <c r="G17" s="1">
        <v>47.7</v>
      </c>
      <c r="H17" s="1">
        <v>39.9</v>
      </c>
      <c r="I17" s="1">
        <v>37</v>
      </c>
      <c r="J17" s="6">
        <v>48.5</v>
      </c>
      <c r="K17" s="1">
        <v>1.1000000000000001</v>
      </c>
      <c r="L17" s="6">
        <v>1.4</v>
      </c>
      <c r="M17" s="5">
        <v>0.30399999999999999</v>
      </c>
      <c r="N17" s="6">
        <v>0.218</v>
      </c>
      <c r="O17" s="1">
        <v>92</v>
      </c>
      <c r="P17" s="6">
        <v>89</v>
      </c>
      <c r="Q17" s="1" t="s">
        <v>31</v>
      </c>
      <c r="R17" s="1">
        <v>4</v>
      </c>
      <c r="S17" s="1" t="s">
        <v>38</v>
      </c>
      <c r="T17" s="6">
        <v>4</v>
      </c>
      <c r="U17" s="1">
        <v>10</v>
      </c>
      <c r="V17" s="1">
        <v>0</v>
      </c>
      <c r="W17" s="9">
        <v>0.01</v>
      </c>
    </row>
    <row r="18" spans="1:23" s="1" customFormat="1" x14ac:dyDescent="0.2">
      <c r="A18" s="5" t="s">
        <v>75</v>
      </c>
      <c r="B18" s="1">
        <v>1899</v>
      </c>
      <c r="C18" s="1" t="s">
        <v>22</v>
      </c>
      <c r="D18" s="1">
        <v>14</v>
      </c>
      <c r="E18" s="5">
        <v>28.97</v>
      </c>
      <c r="F18" s="6">
        <v>29.18</v>
      </c>
      <c r="G18" s="1">
        <v>42.7</v>
      </c>
      <c r="H18" s="1">
        <v>41.7</v>
      </c>
      <c r="I18" s="1">
        <v>36.5</v>
      </c>
      <c r="J18" s="6">
        <v>48</v>
      </c>
      <c r="K18" s="1">
        <v>2.9</v>
      </c>
      <c r="L18" s="6">
        <v>1.9</v>
      </c>
      <c r="M18" s="5">
        <v>0.214</v>
      </c>
      <c r="N18" s="6">
        <v>0.22500000000000001</v>
      </c>
      <c r="O18" s="1">
        <v>79</v>
      </c>
      <c r="P18" s="6">
        <v>86</v>
      </c>
      <c r="Q18" s="1" t="s">
        <v>39</v>
      </c>
      <c r="R18" s="1">
        <v>4</v>
      </c>
      <c r="S18" s="1" t="s">
        <v>38</v>
      </c>
      <c r="T18" s="6">
        <v>4</v>
      </c>
      <c r="U18" s="1">
        <v>2</v>
      </c>
      <c r="V18" s="1">
        <v>0</v>
      </c>
      <c r="W18" s="9" t="s">
        <v>25</v>
      </c>
    </row>
    <row r="19" spans="1:23" s="1" customFormat="1" x14ac:dyDescent="0.2">
      <c r="A19" s="5" t="s">
        <v>75</v>
      </c>
      <c r="B19" s="1">
        <v>1899</v>
      </c>
      <c r="C19" s="1" t="s">
        <v>22</v>
      </c>
      <c r="D19" s="1">
        <v>15</v>
      </c>
      <c r="E19" s="5">
        <v>29.44</v>
      </c>
      <c r="F19" s="6">
        <v>29.47</v>
      </c>
      <c r="G19" s="1">
        <v>42</v>
      </c>
      <c r="H19" s="1">
        <v>37.799999999999997</v>
      </c>
      <c r="I19" s="1">
        <v>36.5</v>
      </c>
      <c r="J19" s="6">
        <v>48.2</v>
      </c>
      <c r="K19" s="1">
        <v>1</v>
      </c>
      <c r="L19" s="6">
        <v>1.4</v>
      </c>
      <c r="M19" s="5">
        <v>0.245</v>
      </c>
      <c r="N19" s="6">
        <v>0.2</v>
      </c>
      <c r="O19" s="1">
        <v>92</v>
      </c>
      <c r="P19" s="6">
        <v>89</v>
      </c>
      <c r="Q19" s="1" t="s">
        <v>39</v>
      </c>
      <c r="R19" s="1">
        <v>3</v>
      </c>
      <c r="S19" s="1" t="s">
        <v>38</v>
      </c>
      <c r="T19" s="6">
        <v>2</v>
      </c>
      <c r="U19" s="1">
        <v>0</v>
      </c>
      <c r="V19" s="1">
        <v>0</v>
      </c>
      <c r="W19" s="9">
        <v>0.01</v>
      </c>
    </row>
    <row r="20" spans="1:23" s="1" customFormat="1" x14ac:dyDescent="0.2">
      <c r="A20" s="5" t="s">
        <v>75</v>
      </c>
      <c r="B20" s="1">
        <v>1899</v>
      </c>
      <c r="C20" s="1" t="s">
        <v>22</v>
      </c>
      <c r="D20" s="1">
        <v>16</v>
      </c>
      <c r="E20" s="5">
        <v>29.4</v>
      </c>
      <c r="F20" s="6">
        <v>29.49</v>
      </c>
      <c r="G20" s="1">
        <v>41.8</v>
      </c>
      <c r="H20" s="1">
        <v>45.5</v>
      </c>
      <c r="I20" s="1">
        <v>35.5</v>
      </c>
      <c r="J20" s="6">
        <v>50</v>
      </c>
      <c r="K20" s="1">
        <v>0.4</v>
      </c>
      <c r="L20" s="6">
        <v>0.5</v>
      </c>
      <c r="M20" s="5">
        <v>0.25600000000000001</v>
      </c>
      <c r="N20" s="6">
        <v>0.29299999999999998</v>
      </c>
      <c r="O20" s="1">
        <v>97</v>
      </c>
      <c r="P20" s="6">
        <v>96</v>
      </c>
      <c r="Q20" s="1" t="s">
        <v>38</v>
      </c>
      <c r="R20" s="1">
        <v>4</v>
      </c>
      <c r="S20" s="1" t="s">
        <v>38</v>
      </c>
      <c r="T20" s="6">
        <v>4</v>
      </c>
      <c r="U20" s="1">
        <v>10</v>
      </c>
      <c r="V20" s="1">
        <v>10</v>
      </c>
      <c r="W20" s="9">
        <v>3.6999999999999998E-2</v>
      </c>
    </row>
    <row r="21" spans="1:23" s="1" customFormat="1" x14ac:dyDescent="0.2">
      <c r="A21" s="5" t="s">
        <v>75</v>
      </c>
      <c r="B21" s="1">
        <v>1899</v>
      </c>
      <c r="C21" s="1" t="s">
        <v>22</v>
      </c>
      <c r="D21" s="1">
        <v>17</v>
      </c>
      <c r="E21" s="5">
        <v>29.57</v>
      </c>
      <c r="F21" s="6">
        <v>29.72</v>
      </c>
      <c r="G21" s="1">
        <v>48</v>
      </c>
      <c r="H21" s="1">
        <v>43</v>
      </c>
      <c r="I21" s="1">
        <v>42.5</v>
      </c>
      <c r="J21" s="6">
        <v>49.2</v>
      </c>
      <c r="K21" s="1">
        <v>0.9</v>
      </c>
      <c r="L21" s="6">
        <v>0.2</v>
      </c>
      <c r="M21" s="5">
        <v>0.312</v>
      </c>
      <c r="N21" s="6">
        <v>0.27300000000000002</v>
      </c>
      <c r="O21" s="1">
        <v>94</v>
      </c>
      <c r="P21" s="6">
        <v>98</v>
      </c>
      <c r="Q21" s="1" t="s">
        <v>38</v>
      </c>
      <c r="R21" s="1">
        <v>3</v>
      </c>
      <c r="S21" s="1" t="s">
        <v>29</v>
      </c>
      <c r="T21" s="6">
        <v>1</v>
      </c>
      <c r="U21" s="1">
        <v>10</v>
      </c>
      <c r="V21" s="1">
        <v>10</v>
      </c>
      <c r="W21" s="9">
        <v>0.627</v>
      </c>
    </row>
    <row r="22" spans="1:23" s="1" customFormat="1" x14ac:dyDescent="0.2">
      <c r="A22" s="5" t="s">
        <v>75</v>
      </c>
      <c r="B22" s="1">
        <v>1899</v>
      </c>
      <c r="C22" s="1" t="s">
        <v>22</v>
      </c>
      <c r="D22" s="1">
        <v>18</v>
      </c>
      <c r="E22" s="5">
        <v>29.77</v>
      </c>
      <c r="F22" s="6">
        <v>29.87</v>
      </c>
      <c r="G22" s="1">
        <v>44</v>
      </c>
      <c r="H22" s="1">
        <v>36.200000000000003</v>
      </c>
      <c r="I22" s="1">
        <v>36.200000000000003</v>
      </c>
      <c r="J22" s="6">
        <v>48.7</v>
      </c>
      <c r="K22" s="1">
        <v>0.4</v>
      </c>
      <c r="L22" s="6">
        <v>0.6</v>
      </c>
      <c r="M22" s="5">
        <v>0.27900000000000003</v>
      </c>
      <c r="N22" s="6">
        <v>0.20200000000000001</v>
      </c>
      <c r="O22" s="1">
        <v>97</v>
      </c>
      <c r="P22" s="6">
        <v>94</v>
      </c>
      <c r="Q22" s="1" t="s">
        <v>24</v>
      </c>
      <c r="R22" s="1">
        <v>1</v>
      </c>
      <c r="S22" s="1" t="s">
        <v>24</v>
      </c>
      <c r="T22" s="6">
        <v>0.5</v>
      </c>
      <c r="U22" s="1">
        <v>10</v>
      </c>
      <c r="V22" s="1">
        <v>2</v>
      </c>
      <c r="W22" s="9" t="s">
        <v>25</v>
      </c>
    </row>
    <row r="23" spans="1:23" s="1" customFormat="1" x14ac:dyDescent="0.2">
      <c r="A23" s="5" t="s">
        <v>75</v>
      </c>
      <c r="B23" s="1">
        <v>1899</v>
      </c>
      <c r="C23" s="1" t="s">
        <v>22</v>
      </c>
      <c r="D23" s="1">
        <v>19</v>
      </c>
      <c r="E23" s="5">
        <v>29.99</v>
      </c>
      <c r="F23" s="6">
        <v>30.06</v>
      </c>
      <c r="G23" s="1">
        <v>40.1</v>
      </c>
      <c r="H23" s="1">
        <v>38.6</v>
      </c>
      <c r="I23" s="1">
        <v>32.5</v>
      </c>
      <c r="J23" s="6">
        <v>48.2</v>
      </c>
      <c r="K23" s="1">
        <v>2.2999999999999998</v>
      </c>
      <c r="L23" s="6">
        <v>0.8</v>
      </c>
      <c r="M23" s="5">
        <v>0.20200000000000001</v>
      </c>
      <c r="N23" s="6">
        <v>0.219</v>
      </c>
      <c r="O23" s="1">
        <v>81</v>
      </c>
      <c r="P23" s="6">
        <v>94</v>
      </c>
      <c r="Q23" s="1" t="s">
        <v>24</v>
      </c>
      <c r="R23" s="1">
        <v>1</v>
      </c>
      <c r="S23" s="1" t="s">
        <v>24</v>
      </c>
      <c r="T23" s="6">
        <v>1</v>
      </c>
      <c r="U23" s="1">
        <v>3</v>
      </c>
      <c r="V23" s="1">
        <v>2</v>
      </c>
      <c r="W23" s="9" t="s">
        <v>25</v>
      </c>
    </row>
    <row r="24" spans="1:23" s="1" customFormat="1" x14ac:dyDescent="0.2">
      <c r="A24" s="5" t="s">
        <v>75</v>
      </c>
      <c r="B24" s="1">
        <v>1899</v>
      </c>
      <c r="C24" s="1" t="s">
        <v>22</v>
      </c>
      <c r="D24" s="1">
        <v>20</v>
      </c>
      <c r="E24" s="5">
        <v>30.02</v>
      </c>
      <c r="F24" s="6">
        <v>29.9</v>
      </c>
      <c r="G24" s="1">
        <v>39.799999999999997</v>
      </c>
      <c r="H24" s="1">
        <v>41.2</v>
      </c>
      <c r="I24" s="1">
        <v>31.8</v>
      </c>
      <c r="J24" s="6">
        <v>41.7</v>
      </c>
      <c r="K24" s="1">
        <v>1</v>
      </c>
      <c r="L24" s="6">
        <v>0.4</v>
      </c>
      <c r="M24" s="5">
        <v>0.22500000000000001</v>
      </c>
      <c r="N24" s="6">
        <v>0.251</v>
      </c>
      <c r="O24" s="1">
        <v>92</v>
      </c>
      <c r="P24" s="6">
        <v>97</v>
      </c>
      <c r="Q24" s="1" t="s">
        <v>47</v>
      </c>
      <c r="R24" s="1">
        <v>2</v>
      </c>
      <c r="S24" s="1" t="s">
        <v>43</v>
      </c>
      <c r="T24" s="6">
        <v>4</v>
      </c>
      <c r="U24" s="1">
        <v>10</v>
      </c>
      <c r="V24" s="1">
        <v>10</v>
      </c>
      <c r="W24" s="9">
        <v>0.34</v>
      </c>
    </row>
    <row r="25" spans="1:23" s="1" customFormat="1" x14ac:dyDescent="0.2">
      <c r="A25" s="5" t="s">
        <v>75</v>
      </c>
      <c r="B25" s="1">
        <v>1899</v>
      </c>
      <c r="C25" s="1" t="s">
        <v>22</v>
      </c>
      <c r="D25" s="1">
        <v>21</v>
      </c>
      <c r="E25" s="5">
        <v>30</v>
      </c>
      <c r="F25" s="6">
        <v>30</v>
      </c>
      <c r="G25" s="1">
        <v>44</v>
      </c>
      <c r="H25" s="1">
        <v>40.6</v>
      </c>
      <c r="I25" s="1">
        <v>39.799999999999997</v>
      </c>
      <c r="J25" s="6">
        <v>48.2</v>
      </c>
      <c r="K25" s="1">
        <v>0.9</v>
      </c>
      <c r="L25" s="6">
        <v>1.6</v>
      </c>
      <c r="M25" s="5">
        <v>0.26700000000000002</v>
      </c>
      <c r="N25" s="6">
        <v>0.219</v>
      </c>
      <c r="O25" s="1">
        <v>93</v>
      </c>
      <c r="P25" s="6">
        <v>87</v>
      </c>
      <c r="Q25" s="1" t="s">
        <v>31</v>
      </c>
      <c r="R25" s="1">
        <v>3</v>
      </c>
      <c r="S25" s="1" t="s">
        <v>30</v>
      </c>
      <c r="T25" s="6">
        <v>1</v>
      </c>
      <c r="U25" s="1">
        <v>10</v>
      </c>
      <c r="V25" s="1">
        <v>0</v>
      </c>
      <c r="W25" s="9" t="s">
        <v>25</v>
      </c>
    </row>
    <row r="26" spans="1:23" s="1" customFormat="1" x14ac:dyDescent="0.2">
      <c r="A26" s="5" t="s">
        <v>75</v>
      </c>
      <c r="B26" s="1">
        <v>1899</v>
      </c>
      <c r="C26" s="1" t="s">
        <v>22</v>
      </c>
      <c r="D26" s="1">
        <v>22</v>
      </c>
      <c r="E26" s="5">
        <v>30.02</v>
      </c>
      <c r="F26" s="6">
        <v>30</v>
      </c>
      <c r="G26" s="1">
        <v>44.8</v>
      </c>
      <c r="H26" s="1">
        <v>38.1</v>
      </c>
      <c r="I26" s="1">
        <v>32.5</v>
      </c>
      <c r="J26" s="6">
        <v>48</v>
      </c>
      <c r="K26" s="1">
        <v>2.4</v>
      </c>
      <c r="L26" s="6">
        <v>1</v>
      </c>
      <c r="M26" s="5">
        <v>0.24299999999999999</v>
      </c>
      <c r="N26" s="6">
        <v>0.20899999999999999</v>
      </c>
      <c r="O26" s="1">
        <v>82</v>
      </c>
      <c r="P26" s="6">
        <v>91</v>
      </c>
      <c r="Q26" s="1" t="s">
        <v>31</v>
      </c>
      <c r="R26" s="1">
        <v>1</v>
      </c>
      <c r="S26" s="1" t="s">
        <v>32</v>
      </c>
      <c r="T26" s="6">
        <v>2</v>
      </c>
      <c r="U26" s="1">
        <v>10</v>
      </c>
      <c r="V26" s="1">
        <v>0</v>
      </c>
      <c r="W26" s="9">
        <v>4.0000000000000001E-3</v>
      </c>
    </row>
    <row r="27" spans="1:23" s="1" customFormat="1" x14ac:dyDescent="0.2">
      <c r="A27" s="5" t="s">
        <v>75</v>
      </c>
      <c r="B27" s="1">
        <v>1899</v>
      </c>
      <c r="C27" s="1" t="s">
        <v>22</v>
      </c>
      <c r="D27" s="1">
        <v>23</v>
      </c>
      <c r="E27" s="5">
        <v>29.95</v>
      </c>
      <c r="F27" s="6">
        <v>29.96</v>
      </c>
      <c r="G27" s="1">
        <v>42</v>
      </c>
      <c r="H27" s="1">
        <v>41.6</v>
      </c>
      <c r="I27" s="1">
        <v>26.5</v>
      </c>
      <c r="J27" s="6">
        <v>47.8</v>
      </c>
      <c r="K27" s="1">
        <v>2.2000000000000002</v>
      </c>
      <c r="L27" s="6">
        <v>1.6</v>
      </c>
      <c r="M27" s="5">
        <v>0.221</v>
      </c>
      <c r="N27" s="6">
        <v>0.22900000000000001</v>
      </c>
      <c r="O27" s="1">
        <v>84</v>
      </c>
      <c r="P27" s="6">
        <v>88</v>
      </c>
      <c r="Q27" s="1" t="s">
        <v>32</v>
      </c>
      <c r="R27" s="1">
        <v>2</v>
      </c>
      <c r="S27" s="1" t="s">
        <v>38</v>
      </c>
      <c r="T27" s="6">
        <v>1</v>
      </c>
      <c r="U27" s="1">
        <v>2</v>
      </c>
      <c r="V27" s="1">
        <v>0</v>
      </c>
      <c r="W27" s="9" t="s">
        <v>25</v>
      </c>
    </row>
    <row r="28" spans="1:23" s="1" customFormat="1" x14ac:dyDescent="0.2">
      <c r="A28" s="5" t="s">
        <v>75</v>
      </c>
      <c r="B28" s="1">
        <v>1899</v>
      </c>
      <c r="C28" s="1" t="s">
        <v>22</v>
      </c>
      <c r="D28" s="1">
        <v>24</v>
      </c>
      <c r="E28" s="5">
        <v>30</v>
      </c>
      <c r="F28" s="6">
        <v>29.99</v>
      </c>
      <c r="G28" s="1">
        <v>46.3</v>
      </c>
      <c r="H28" s="1">
        <v>44.6</v>
      </c>
      <c r="I28" s="1">
        <v>36.799999999999997</v>
      </c>
      <c r="J28" s="6">
        <v>48</v>
      </c>
      <c r="K28" s="1">
        <v>3.3</v>
      </c>
      <c r="L28" s="6">
        <v>1.8</v>
      </c>
      <c r="M28" s="5">
        <v>0.24099999999999999</v>
      </c>
      <c r="N28" s="6">
        <v>0.254</v>
      </c>
      <c r="O28" s="1">
        <v>77</v>
      </c>
      <c r="P28" s="6">
        <v>86</v>
      </c>
      <c r="Q28" s="1" t="s">
        <v>32</v>
      </c>
      <c r="R28" s="1">
        <v>2</v>
      </c>
      <c r="S28" s="1" t="s">
        <v>32</v>
      </c>
      <c r="T28" s="6">
        <v>1</v>
      </c>
      <c r="U28" s="1">
        <v>10</v>
      </c>
      <c r="V28" s="1">
        <v>10</v>
      </c>
      <c r="W28" s="9" t="s">
        <v>25</v>
      </c>
    </row>
    <row r="29" spans="1:23" s="1" customFormat="1" x14ac:dyDescent="0.2">
      <c r="A29" s="5" t="s">
        <v>75</v>
      </c>
      <c r="B29" s="1">
        <v>1899</v>
      </c>
      <c r="C29" s="1" t="s">
        <v>22</v>
      </c>
      <c r="D29" s="1">
        <v>25</v>
      </c>
      <c r="E29" s="5">
        <v>30</v>
      </c>
      <c r="F29" s="6">
        <v>30.05</v>
      </c>
      <c r="G29" s="1">
        <v>45.6</v>
      </c>
      <c r="H29" s="1">
        <v>38.4</v>
      </c>
      <c r="I29" s="1">
        <v>38.6</v>
      </c>
      <c r="J29" s="6">
        <v>48.2</v>
      </c>
      <c r="K29" s="1">
        <v>2</v>
      </c>
      <c r="L29" s="6">
        <v>2</v>
      </c>
      <c r="M29" s="5">
        <v>0.26100000000000001</v>
      </c>
      <c r="N29" s="6">
        <v>0.20300000000000001</v>
      </c>
      <c r="O29" s="1">
        <v>85</v>
      </c>
      <c r="P29" s="6">
        <v>84</v>
      </c>
      <c r="Q29" s="1" t="s">
        <v>32</v>
      </c>
      <c r="R29" s="1">
        <v>3</v>
      </c>
      <c r="S29" s="1" t="s">
        <v>31</v>
      </c>
      <c r="T29" s="6">
        <v>2</v>
      </c>
      <c r="U29" s="1">
        <v>10</v>
      </c>
      <c r="V29" s="1">
        <v>8</v>
      </c>
      <c r="W29" s="9" t="s">
        <v>25</v>
      </c>
    </row>
    <row r="30" spans="1:23" s="1" customFormat="1" x14ac:dyDescent="0.2">
      <c r="A30" s="5" t="s">
        <v>75</v>
      </c>
      <c r="B30" s="1">
        <v>1899</v>
      </c>
      <c r="C30" s="1" t="s">
        <v>22</v>
      </c>
      <c r="D30" s="1">
        <v>26</v>
      </c>
      <c r="E30" s="5">
        <v>30.09</v>
      </c>
      <c r="F30" s="6">
        <v>30.13</v>
      </c>
      <c r="G30" s="1">
        <v>39.6</v>
      </c>
      <c r="H30" s="1">
        <v>36.4</v>
      </c>
      <c r="I30" s="1">
        <v>35.200000000000003</v>
      </c>
      <c r="J30" s="6">
        <v>47</v>
      </c>
      <c r="K30" s="1">
        <v>1.1000000000000001</v>
      </c>
      <c r="L30" s="6">
        <v>1.4</v>
      </c>
      <c r="M30" s="5">
        <v>0.221</v>
      </c>
      <c r="N30" s="6">
        <v>0.189</v>
      </c>
      <c r="O30" s="1">
        <v>91</v>
      </c>
      <c r="P30" s="6">
        <v>88</v>
      </c>
      <c r="Q30" s="1" t="s">
        <v>31</v>
      </c>
      <c r="R30" s="1">
        <v>0.5</v>
      </c>
      <c r="S30" s="1" t="s">
        <v>32</v>
      </c>
      <c r="T30" s="6">
        <v>1</v>
      </c>
      <c r="U30" s="1">
        <v>0</v>
      </c>
      <c r="V30" s="1">
        <v>0</v>
      </c>
      <c r="W30" s="9">
        <v>3.0000000000000001E-3</v>
      </c>
    </row>
    <row r="31" spans="1:23" s="1" customFormat="1" x14ac:dyDescent="0.2">
      <c r="A31" s="5" t="s">
        <v>75</v>
      </c>
      <c r="B31" s="1">
        <v>1899</v>
      </c>
      <c r="C31" s="1" t="s">
        <v>22</v>
      </c>
      <c r="D31" s="1">
        <v>27</v>
      </c>
      <c r="E31" s="5">
        <v>30.22</v>
      </c>
      <c r="F31" s="6">
        <v>30.27</v>
      </c>
      <c r="G31" s="1">
        <v>40</v>
      </c>
      <c r="H31" s="1">
        <v>38</v>
      </c>
      <c r="I31" s="1">
        <v>27.5</v>
      </c>
      <c r="J31" s="6">
        <v>47.2</v>
      </c>
      <c r="K31" s="1">
        <v>3.1</v>
      </c>
      <c r="L31" s="6">
        <v>1.2</v>
      </c>
      <c r="M31" s="5">
        <v>0.187</v>
      </c>
      <c r="N31" s="6">
        <v>0.20399999999999999</v>
      </c>
      <c r="O31" s="1">
        <v>75</v>
      </c>
      <c r="P31" s="6">
        <v>89</v>
      </c>
      <c r="Q31" s="1" t="s">
        <v>32</v>
      </c>
      <c r="R31" s="1">
        <v>0.5</v>
      </c>
      <c r="S31" s="1" t="s">
        <v>38</v>
      </c>
      <c r="T31" s="6">
        <v>2</v>
      </c>
      <c r="U31" s="1">
        <v>0</v>
      </c>
      <c r="V31" s="1">
        <v>2</v>
      </c>
      <c r="W31" s="9" t="s">
        <v>25</v>
      </c>
    </row>
    <row r="32" spans="1:23" s="1" customFormat="1" x14ac:dyDescent="0.2">
      <c r="A32" s="5" t="s">
        <v>75</v>
      </c>
      <c r="B32" s="1">
        <v>1899</v>
      </c>
      <c r="C32" s="1" t="s">
        <v>22</v>
      </c>
      <c r="D32" s="1">
        <v>28</v>
      </c>
      <c r="E32" s="5">
        <v>30.33</v>
      </c>
      <c r="F32" s="6">
        <v>30.37</v>
      </c>
      <c r="G32" s="1">
        <v>43.6</v>
      </c>
      <c r="H32" s="1">
        <v>46.6</v>
      </c>
      <c r="I32" s="1">
        <v>32.5</v>
      </c>
      <c r="J32" s="6">
        <v>50.4</v>
      </c>
      <c r="K32" s="1">
        <v>2.6</v>
      </c>
      <c r="L32" s="6">
        <v>3.3</v>
      </c>
      <c r="M32" s="5">
        <v>0.22700000000000001</v>
      </c>
      <c r="N32" s="6">
        <v>0.24299999999999999</v>
      </c>
      <c r="O32" s="1">
        <v>80</v>
      </c>
      <c r="P32" s="6">
        <v>77</v>
      </c>
      <c r="Q32" s="1" t="s">
        <v>39</v>
      </c>
      <c r="R32" s="1">
        <v>3</v>
      </c>
      <c r="S32" s="1" t="s">
        <v>35</v>
      </c>
      <c r="T32" s="6">
        <v>2</v>
      </c>
      <c r="U32" s="1">
        <v>7</v>
      </c>
      <c r="V32" s="1">
        <v>10</v>
      </c>
      <c r="W32" s="9" t="s">
        <v>25</v>
      </c>
    </row>
    <row r="33" spans="1:23" s="1" customFormat="1" x14ac:dyDescent="0.2">
      <c r="A33" s="10"/>
      <c r="B33" s="11"/>
      <c r="C33" s="11"/>
      <c r="D33" s="12" t="s">
        <v>45</v>
      </c>
      <c r="E33" s="11">
        <v>29.501000000000001</v>
      </c>
      <c r="F33" s="12">
        <v>29.513000000000002</v>
      </c>
      <c r="G33" s="10">
        <v>42.7</v>
      </c>
      <c r="H33" s="11">
        <v>40.5</v>
      </c>
      <c r="I33" s="11">
        <v>35.200000000000003</v>
      </c>
      <c r="J33" s="12">
        <v>47</v>
      </c>
      <c r="K33" s="10">
        <v>1.5</v>
      </c>
      <c r="L33" s="12">
        <v>1.3</v>
      </c>
      <c r="M33" s="11">
        <v>0.24399999999999999</v>
      </c>
      <c r="N33" s="11">
        <v>0.22900000000000001</v>
      </c>
      <c r="O33" s="10">
        <v>88.4</v>
      </c>
      <c r="P33" s="12">
        <v>89.6</v>
      </c>
      <c r="Q33" s="10" t="s">
        <v>25</v>
      </c>
      <c r="R33" s="11">
        <v>2.2999999999999998</v>
      </c>
      <c r="S33" s="11" t="s">
        <v>25</v>
      </c>
      <c r="T33" s="12">
        <v>2.4</v>
      </c>
      <c r="U33" s="10">
        <v>7.9</v>
      </c>
      <c r="V33" s="12">
        <v>5.2</v>
      </c>
      <c r="W33" s="13">
        <v>2.6760000000000002</v>
      </c>
    </row>
    <row r="34" spans="1:23" x14ac:dyDescent="0.2">
      <c r="E34">
        <f>SUM(E5:E32)/28</f>
        <v>29.500357142857148</v>
      </c>
      <c r="F34">
        <f>SUM(F5:F32)/28</f>
        <v>29.513571428571428</v>
      </c>
    </row>
  </sheetData>
  <mergeCells count="8">
    <mergeCell ref="K3:L3"/>
    <mergeCell ref="M3:N3"/>
    <mergeCell ref="O3:P3"/>
    <mergeCell ref="E2:F2"/>
    <mergeCell ref="G2:J2"/>
    <mergeCell ref="K2:P2"/>
    <mergeCell ref="Q2:T2"/>
    <mergeCell ref="U2:V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3A142-C323-471B-8DE8-71C83ABC936E}">
  <dimension ref="A2:W33"/>
  <sheetViews>
    <sheetView topLeftCell="M10" workbookViewId="0">
      <selection activeCell="W34" sqref="W34"/>
    </sheetView>
  </sheetViews>
  <sheetFormatPr baseColWidth="10" defaultColWidth="8.83203125" defaultRowHeight="15" x14ac:dyDescent="0.2"/>
  <cols>
    <col min="1" max="1" width="14" customWidth="1"/>
  </cols>
  <sheetData>
    <row r="2" spans="1:23" s="2" customFormat="1" ht="32" x14ac:dyDescent="0.2">
      <c r="A2" s="14"/>
      <c r="B2" s="15"/>
      <c r="C2" s="15"/>
      <c r="D2" s="15"/>
      <c r="E2" s="31" t="s">
        <v>0</v>
      </c>
      <c r="F2" s="32"/>
      <c r="G2" s="33" t="s">
        <v>1</v>
      </c>
      <c r="H2" s="33"/>
      <c r="I2" s="33"/>
      <c r="J2" s="34"/>
      <c r="K2" s="29" t="s">
        <v>2</v>
      </c>
      <c r="L2" s="33"/>
      <c r="M2" s="33"/>
      <c r="N2" s="33"/>
      <c r="O2" s="33"/>
      <c r="P2" s="34"/>
      <c r="Q2" s="33" t="s">
        <v>3</v>
      </c>
      <c r="R2" s="33"/>
      <c r="S2" s="33"/>
      <c r="T2" s="34"/>
      <c r="U2" s="29" t="s">
        <v>4</v>
      </c>
      <c r="V2" s="30"/>
      <c r="W2" s="7" t="s">
        <v>5</v>
      </c>
    </row>
    <row r="3" spans="1:23" s="2" customFormat="1" x14ac:dyDescent="0.2">
      <c r="A3" s="3"/>
      <c r="E3" s="16"/>
      <c r="F3" s="17"/>
      <c r="J3" s="4"/>
      <c r="K3" s="35" t="s">
        <v>6</v>
      </c>
      <c r="L3" s="36"/>
      <c r="M3" s="35" t="s">
        <v>7</v>
      </c>
      <c r="N3" s="36"/>
      <c r="O3" s="37" t="s">
        <v>8</v>
      </c>
      <c r="P3" s="38"/>
      <c r="T3" s="4"/>
      <c r="V3" s="1"/>
      <c r="W3" s="18"/>
    </row>
    <row r="4" spans="1:23" s="2" customFormat="1" x14ac:dyDescent="0.2">
      <c r="A4" s="3" t="s">
        <v>9</v>
      </c>
      <c r="B4" s="2" t="s">
        <v>10</v>
      </c>
      <c r="C4" s="2" t="s">
        <v>11</v>
      </c>
      <c r="D4" s="2" t="s">
        <v>12</v>
      </c>
      <c r="E4" s="3" t="s">
        <v>13</v>
      </c>
      <c r="F4" s="4" t="s">
        <v>14</v>
      </c>
      <c r="G4" s="2" t="s">
        <v>13</v>
      </c>
      <c r="H4" s="2" t="s">
        <v>14</v>
      </c>
      <c r="I4" s="2" t="s">
        <v>15</v>
      </c>
      <c r="J4" s="4" t="s">
        <v>16</v>
      </c>
      <c r="K4" s="2" t="s">
        <v>13</v>
      </c>
      <c r="L4" s="4" t="s">
        <v>14</v>
      </c>
      <c r="M4" s="3" t="s">
        <v>13</v>
      </c>
      <c r="N4" s="4" t="s">
        <v>14</v>
      </c>
      <c r="O4" s="2" t="s">
        <v>13</v>
      </c>
      <c r="P4" s="4" t="s">
        <v>14</v>
      </c>
      <c r="Q4" s="2" t="s">
        <v>17</v>
      </c>
      <c r="R4" s="2" t="s">
        <v>18</v>
      </c>
      <c r="S4" s="2" t="s">
        <v>19</v>
      </c>
      <c r="T4" s="4" t="s">
        <v>20</v>
      </c>
      <c r="U4" s="2" t="s">
        <v>13</v>
      </c>
      <c r="V4" s="2" t="s">
        <v>14</v>
      </c>
      <c r="W4" s="8" t="s">
        <v>13</v>
      </c>
    </row>
    <row r="5" spans="1:23" s="1" customFormat="1" x14ac:dyDescent="0.2">
      <c r="A5" s="5" t="s">
        <v>76</v>
      </c>
      <c r="B5" s="1">
        <v>1899</v>
      </c>
      <c r="C5" s="1" t="s">
        <v>22</v>
      </c>
      <c r="D5" s="1">
        <v>1</v>
      </c>
      <c r="E5" s="5">
        <v>29.37</v>
      </c>
      <c r="F5" s="6">
        <v>29.42</v>
      </c>
      <c r="G5" s="1">
        <v>32.6</v>
      </c>
      <c r="H5" s="1">
        <v>30</v>
      </c>
      <c r="I5" s="1">
        <v>27.6</v>
      </c>
      <c r="J5" s="6">
        <v>41.3</v>
      </c>
      <c r="K5" s="1">
        <v>0.3</v>
      </c>
      <c r="L5" s="6">
        <v>1</v>
      </c>
      <c r="M5" s="5">
        <v>0.18</v>
      </c>
      <c r="N5" s="6">
        <v>0.14000000000000001</v>
      </c>
      <c r="O5" s="1">
        <v>97</v>
      </c>
      <c r="P5" s="6">
        <v>83</v>
      </c>
      <c r="Q5" s="1" t="s">
        <v>36</v>
      </c>
      <c r="R5" s="1">
        <v>0</v>
      </c>
      <c r="S5" s="1" t="s">
        <v>43</v>
      </c>
      <c r="T5" s="6">
        <v>0.5</v>
      </c>
      <c r="U5" s="1">
        <v>8</v>
      </c>
      <c r="V5" s="1">
        <v>0</v>
      </c>
      <c r="W5" s="9" t="s">
        <v>25</v>
      </c>
    </row>
    <row r="6" spans="1:23" s="1" customFormat="1" x14ac:dyDescent="0.2">
      <c r="A6" s="5" t="s">
        <v>76</v>
      </c>
      <c r="B6" s="1">
        <v>1899</v>
      </c>
      <c r="C6" s="1" t="s">
        <v>22</v>
      </c>
      <c r="D6" s="1">
        <v>2</v>
      </c>
      <c r="E6" s="5">
        <v>29.53</v>
      </c>
      <c r="F6" s="6">
        <v>29.66</v>
      </c>
      <c r="G6" s="1">
        <v>32.4</v>
      </c>
      <c r="H6" s="1">
        <v>25.8</v>
      </c>
      <c r="I6" s="1">
        <v>23</v>
      </c>
      <c r="J6" s="6">
        <v>41.8</v>
      </c>
      <c r="K6" s="1">
        <v>2.6</v>
      </c>
      <c r="L6" s="6">
        <v>0.2</v>
      </c>
      <c r="M6" s="5">
        <v>0.13</v>
      </c>
      <c r="N6" s="6">
        <v>0.13300000000000001</v>
      </c>
      <c r="O6" s="1">
        <v>71</v>
      </c>
      <c r="P6" s="6">
        <v>95</v>
      </c>
      <c r="Q6" s="1" t="s">
        <v>47</v>
      </c>
      <c r="R6" s="1">
        <v>1</v>
      </c>
      <c r="S6" s="1" t="s">
        <v>36</v>
      </c>
      <c r="T6" s="6">
        <v>0</v>
      </c>
      <c r="U6" s="1">
        <v>7</v>
      </c>
      <c r="V6" s="1">
        <v>0</v>
      </c>
      <c r="W6" s="9" t="s">
        <v>25</v>
      </c>
    </row>
    <row r="7" spans="1:23" s="1" customFormat="1" x14ac:dyDescent="0.2">
      <c r="A7" s="5" t="s">
        <v>76</v>
      </c>
      <c r="B7" s="1">
        <v>1899</v>
      </c>
      <c r="C7" s="1" t="s">
        <v>22</v>
      </c>
      <c r="D7" s="1">
        <v>3</v>
      </c>
      <c r="E7" s="5">
        <v>29.7</v>
      </c>
      <c r="F7" s="6">
        <v>29.67</v>
      </c>
      <c r="G7" s="1">
        <v>28.2</v>
      </c>
      <c r="H7" s="1">
        <v>31.8</v>
      </c>
      <c r="I7" s="1">
        <v>17.3</v>
      </c>
      <c r="J7" s="6">
        <v>40.5</v>
      </c>
      <c r="K7" s="1">
        <v>1.3</v>
      </c>
      <c r="L7" s="6">
        <v>1.1000000000000001</v>
      </c>
      <c r="M7" s="5">
        <v>0.11700000000000001</v>
      </c>
      <c r="N7" s="6">
        <v>0.154</v>
      </c>
      <c r="O7" s="1">
        <v>76</v>
      </c>
      <c r="P7" s="6">
        <v>85</v>
      </c>
      <c r="Q7" s="1" t="s">
        <v>36</v>
      </c>
      <c r="R7" s="1">
        <v>0</v>
      </c>
      <c r="S7" s="1" t="s">
        <v>31</v>
      </c>
      <c r="T7" s="6">
        <v>2</v>
      </c>
      <c r="U7" s="1">
        <v>2</v>
      </c>
      <c r="V7" s="1">
        <v>0</v>
      </c>
      <c r="W7" s="9" t="s">
        <v>25</v>
      </c>
    </row>
    <row r="8" spans="1:23" s="1" customFormat="1" x14ac:dyDescent="0.2">
      <c r="A8" s="5" t="s">
        <v>76</v>
      </c>
      <c r="B8" s="1">
        <v>1899</v>
      </c>
      <c r="C8" s="1" t="s">
        <v>22</v>
      </c>
      <c r="D8" s="1">
        <v>4</v>
      </c>
      <c r="E8" s="5">
        <v>29.46</v>
      </c>
      <c r="F8" s="6">
        <v>29.33</v>
      </c>
      <c r="G8" s="1">
        <v>38.5</v>
      </c>
      <c r="H8" s="1">
        <v>41.2</v>
      </c>
      <c r="I8" s="1">
        <v>31.1</v>
      </c>
      <c r="J8" s="6">
        <v>41.7</v>
      </c>
      <c r="K8" s="1">
        <v>3.1</v>
      </c>
      <c r="L8" s="6">
        <v>0.1</v>
      </c>
      <c r="M8" s="5">
        <v>0.17499999999999999</v>
      </c>
      <c r="N8" s="6">
        <v>0.25700000000000001</v>
      </c>
      <c r="O8" s="1">
        <v>75</v>
      </c>
      <c r="P8" s="6">
        <v>99</v>
      </c>
      <c r="Q8" s="1" t="s">
        <v>31</v>
      </c>
      <c r="R8" s="1">
        <v>4</v>
      </c>
      <c r="S8" s="1" t="s">
        <v>31</v>
      </c>
      <c r="T8" s="6">
        <v>2</v>
      </c>
      <c r="U8" s="1">
        <v>10</v>
      </c>
      <c r="V8" s="1">
        <v>10</v>
      </c>
      <c r="W8" s="9">
        <v>0.14000000000000001</v>
      </c>
    </row>
    <row r="9" spans="1:23" s="1" customFormat="1" x14ac:dyDescent="0.2">
      <c r="A9" s="5" t="s">
        <v>76</v>
      </c>
      <c r="B9" s="1">
        <v>1899</v>
      </c>
      <c r="C9" s="1" t="s">
        <v>22</v>
      </c>
      <c r="D9" s="1">
        <v>5</v>
      </c>
      <c r="E9" s="5">
        <v>29.39</v>
      </c>
      <c r="F9" s="6">
        <v>29.34</v>
      </c>
      <c r="G9" s="1">
        <v>41.8</v>
      </c>
      <c r="H9" s="1">
        <v>40.6</v>
      </c>
      <c r="I9" s="1">
        <v>39.299999999999997</v>
      </c>
      <c r="J9" s="6">
        <v>46.2</v>
      </c>
      <c r="K9" s="1">
        <v>0.6</v>
      </c>
      <c r="L9" s="6">
        <v>1.4</v>
      </c>
      <c r="M9" s="5">
        <v>0.252</v>
      </c>
      <c r="N9" s="6">
        <v>0.223</v>
      </c>
      <c r="O9" s="1">
        <v>95</v>
      </c>
      <c r="P9" s="6">
        <v>89</v>
      </c>
      <c r="Q9" s="1" t="s">
        <v>31</v>
      </c>
      <c r="R9" s="1">
        <v>2</v>
      </c>
      <c r="S9" s="1" t="s">
        <v>33</v>
      </c>
      <c r="T9" s="6">
        <v>5</v>
      </c>
      <c r="U9" s="1">
        <v>10</v>
      </c>
      <c r="V9" s="1">
        <v>10</v>
      </c>
      <c r="W9" s="9">
        <v>0.2</v>
      </c>
    </row>
    <row r="10" spans="1:23" s="1" customFormat="1" x14ac:dyDescent="0.2">
      <c r="A10" s="5" t="s">
        <v>76</v>
      </c>
      <c r="B10" s="1">
        <v>1899</v>
      </c>
      <c r="C10" s="1" t="s">
        <v>22</v>
      </c>
      <c r="D10" s="1">
        <v>6</v>
      </c>
      <c r="E10" s="5">
        <v>29.35</v>
      </c>
      <c r="F10" s="6">
        <v>29.14</v>
      </c>
      <c r="G10" s="1">
        <v>42.8</v>
      </c>
      <c r="H10" s="1">
        <v>43.3</v>
      </c>
      <c r="I10" s="1">
        <v>37.5</v>
      </c>
      <c r="J10" s="6">
        <v>48.3</v>
      </c>
      <c r="K10" s="1">
        <v>0.5</v>
      </c>
      <c r="L10" s="6">
        <v>1.2</v>
      </c>
      <c r="M10" s="5">
        <v>0.26400000000000001</v>
      </c>
      <c r="N10" s="6">
        <v>0.254</v>
      </c>
      <c r="O10" s="1">
        <v>96</v>
      </c>
      <c r="P10" s="6">
        <v>91</v>
      </c>
      <c r="Q10" s="1" t="s">
        <v>32</v>
      </c>
      <c r="R10" s="1">
        <v>4</v>
      </c>
      <c r="S10" s="1" t="s">
        <v>32</v>
      </c>
      <c r="T10" s="6">
        <v>5</v>
      </c>
      <c r="U10" s="1">
        <v>9</v>
      </c>
      <c r="V10" s="1">
        <v>9</v>
      </c>
      <c r="W10" s="9">
        <v>0.06</v>
      </c>
    </row>
    <row r="11" spans="1:23" s="1" customFormat="1" x14ac:dyDescent="0.2">
      <c r="A11" s="5" t="s">
        <v>76</v>
      </c>
      <c r="B11" s="1">
        <v>1899</v>
      </c>
      <c r="C11" s="1" t="s">
        <v>22</v>
      </c>
      <c r="D11" s="1">
        <v>7</v>
      </c>
      <c r="E11" s="5">
        <v>28.91</v>
      </c>
      <c r="F11" s="6">
        <v>28.92</v>
      </c>
      <c r="G11" s="1">
        <v>45.8</v>
      </c>
      <c r="H11" s="1">
        <v>42.9</v>
      </c>
      <c r="I11" s="1">
        <v>41.5</v>
      </c>
      <c r="J11" s="6">
        <v>49.8</v>
      </c>
      <c r="K11" s="1">
        <v>1.8</v>
      </c>
      <c r="L11" s="6">
        <v>1</v>
      </c>
      <c r="M11" s="5">
        <v>0.26700000000000002</v>
      </c>
      <c r="N11" s="6">
        <v>0.255</v>
      </c>
      <c r="O11" s="1">
        <v>87</v>
      </c>
      <c r="P11" s="6">
        <v>92</v>
      </c>
      <c r="Q11" s="1" t="s">
        <v>32</v>
      </c>
      <c r="R11" s="1">
        <v>2</v>
      </c>
      <c r="S11" s="1" t="s">
        <v>32</v>
      </c>
      <c r="T11" s="6">
        <v>2</v>
      </c>
      <c r="U11" s="1">
        <v>7</v>
      </c>
      <c r="V11" s="1">
        <v>9</v>
      </c>
      <c r="W11" s="9">
        <v>0.1</v>
      </c>
    </row>
    <row r="12" spans="1:23" s="1" customFormat="1" x14ac:dyDescent="0.2">
      <c r="A12" s="5" t="s">
        <v>76</v>
      </c>
      <c r="B12" s="1">
        <v>1899</v>
      </c>
      <c r="C12" s="1" t="s">
        <v>22</v>
      </c>
      <c r="D12" s="1">
        <v>8</v>
      </c>
      <c r="E12" s="5">
        <v>28.83</v>
      </c>
      <c r="F12" s="6">
        <v>28.68</v>
      </c>
      <c r="G12" s="1">
        <v>42.8</v>
      </c>
      <c r="H12" s="1">
        <v>42.3</v>
      </c>
      <c r="I12" s="1">
        <v>39.700000000000003</v>
      </c>
      <c r="J12" s="6">
        <v>50.2</v>
      </c>
      <c r="K12" s="1">
        <v>1.1000000000000001</v>
      </c>
      <c r="L12" s="6">
        <v>1.3</v>
      </c>
      <c r="M12" s="5">
        <v>0.251</v>
      </c>
      <c r="N12" s="6">
        <v>0.24199999999999999</v>
      </c>
      <c r="O12" s="1">
        <v>92</v>
      </c>
      <c r="P12" s="6">
        <v>90</v>
      </c>
      <c r="Q12" s="1" t="s">
        <v>32</v>
      </c>
      <c r="R12" s="1">
        <v>2</v>
      </c>
      <c r="S12" s="1" t="s">
        <v>31</v>
      </c>
      <c r="T12" s="6">
        <v>2</v>
      </c>
      <c r="U12" s="1">
        <v>9</v>
      </c>
      <c r="V12" s="1">
        <v>10</v>
      </c>
      <c r="W12" s="9">
        <v>0.17</v>
      </c>
    </row>
    <row r="13" spans="1:23" s="1" customFormat="1" x14ac:dyDescent="0.2">
      <c r="A13" s="5" t="s">
        <v>76</v>
      </c>
      <c r="B13" s="1">
        <v>1899</v>
      </c>
      <c r="C13" s="1" t="s">
        <v>22</v>
      </c>
      <c r="D13" s="1">
        <v>9</v>
      </c>
      <c r="E13" s="5">
        <v>28.9</v>
      </c>
      <c r="F13" s="6">
        <v>28.8</v>
      </c>
      <c r="G13" s="1">
        <v>46</v>
      </c>
      <c r="H13" s="1">
        <v>45</v>
      </c>
      <c r="I13" s="1">
        <v>37.700000000000003</v>
      </c>
      <c r="J13" s="6">
        <v>51.2</v>
      </c>
      <c r="K13" s="1">
        <v>0.3</v>
      </c>
      <c r="L13" s="6">
        <v>1</v>
      </c>
      <c r="M13" s="5">
        <v>0.30399999999999999</v>
      </c>
      <c r="N13" s="6">
        <v>0.27500000000000002</v>
      </c>
      <c r="O13" s="1">
        <v>98</v>
      </c>
      <c r="P13" s="6">
        <v>92</v>
      </c>
      <c r="Q13" s="1" t="s">
        <v>31</v>
      </c>
      <c r="R13" s="1">
        <v>1</v>
      </c>
      <c r="S13" s="1" t="s">
        <v>35</v>
      </c>
      <c r="T13" s="6">
        <v>1</v>
      </c>
      <c r="U13" s="1">
        <v>10</v>
      </c>
      <c r="V13" s="1">
        <v>10</v>
      </c>
      <c r="W13" s="9">
        <v>0.56999999999999995</v>
      </c>
    </row>
    <row r="14" spans="1:23" s="1" customFormat="1" x14ac:dyDescent="0.2">
      <c r="A14" s="5" t="s">
        <v>76</v>
      </c>
      <c r="B14" s="1">
        <v>1899</v>
      </c>
      <c r="C14" s="1" t="s">
        <v>22</v>
      </c>
      <c r="D14" s="1">
        <v>10</v>
      </c>
      <c r="E14" s="5">
        <v>28.76</v>
      </c>
      <c r="F14" s="6">
        <v>28.84</v>
      </c>
      <c r="G14" s="1">
        <v>47.7</v>
      </c>
      <c r="H14" s="1">
        <v>45.2</v>
      </c>
      <c r="I14" s="1">
        <v>39.700000000000003</v>
      </c>
      <c r="J14" s="6">
        <v>50.2</v>
      </c>
      <c r="K14" s="1">
        <v>0.7</v>
      </c>
      <c r="L14" s="6">
        <v>1.2</v>
      </c>
      <c r="M14" s="5">
        <v>0.313</v>
      </c>
      <c r="N14" s="6">
        <v>0.27300000000000002</v>
      </c>
      <c r="O14" s="1">
        <v>95</v>
      </c>
      <c r="P14" s="6">
        <v>91</v>
      </c>
      <c r="Q14" s="1" t="s">
        <v>31</v>
      </c>
      <c r="R14" s="1">
        <v>2</v>
      </c>
      <c r="S14" s="1" t="s">
        <v>39</v>
      </c>
      <c r="T14" s="6">
        <v>5</v>
      </c>
      <c r="U14" s="1">
        <v>8</v>
      </c>
      <c r="V14" s="1">
        <v>10</v>
      </c>
      <c r="W14" s="9">
        <v>0.27</v>
      </c>
    </row>
    <row r="15" spans="1:23" s="1" customFormat="1" x14ac:dyDescent="0.2">
      <c r="A15" s="5" t="s">
        <v>76</v>
      </c>
      <c r="B15" s="1">
        <v>1899</v>
      </c>
      <c r="C15" s="1" t="s">
        <v>22</v>
      </c>
      <c r="D15" s="1">
        <v>11</v>
      </c>
      <c r="E15" s="5">
        <v>28.9</v>
      </c>
      <c r="F15" s="6">
        <v>28.74</v>
      </c>
      <c r="G15" s="1">
        <v>48</v>
      </c>
      <c r="H15" s="1">
        <v>43.1</v>
      </c>
      <c r="I15" s="1">
        <v>42.4</v>
      </c>
      <c r="J15" s="6">
        <v>49.6</v>
      </c>
      <c r="K15" s="1">
        <v>1.2</v>
      </c>
      <c r="L15" s="6">
        <v>0.3</v>
      </c>
      <c r="M15" s="5">
        <v>0.30399999999999999</v>
      </c>
      <c r="N15" s="6">
        <v>0.27200000000000002</v>
      </c>
      <c r="O15" s="1">
        <v>92</v>
      </c>
      <c r="P15" s="6">
        <v>97</v>
      </c>
      <c r="Q15" s="1" t="s">
        <v>31</v>
      </c>
      <c r="R15" s="1">
        <v>2</v>
      </c>
      <c r="S15" s="1" t="s">
        <v>38</v>
      </c>
      <c r="T15" s="6">
        <v>1</v>
      </c>
      <c r="U15" s="1">
        <v>10</v>
      </c>
      <c r="V15" s="1">
        <v>3</v>
      </c>
      <c r="W15" s="9">
        <v>0.73</v>
      </c>
    </row>
    <row r="16" spans="1:23" s="1" customFormat="1" x14ac:dyDescent="0.2">
      <c r="A16" s="5" t="s">
        <v>76</v>
      </c>
      <c r="B16" s="1">
        <v>1899</v>
      </c>
      <c r="C16" s="1" t="s">
        <v>22</v>
      </c>
      <c r="D16" s="1">
        <v>12</v>
      </c>
      <c r="E16" s="5">
        <v>28.82</v>
      </c>
      <c r="F16" s="6">
        <v>28.86</v>
      </c>
      <c r="G16" s="1">
        <v>41.8</v>
      </c>
      <c r="H16" s="1">
        <v>40</v>
      </c>
      <c r="I16" s="1">
        <v>35.799999999999997</v>
      </c>
      <c r="J16" s="6">
        <v>47.2</v>
      </c>
      <c r="K16" s="1">
        <v>0.6</v>
      </c>
      <c r="L16" s="6">
        <v>1.4</v>
      </c>
      <c r="M16" s="5">
        <v>0.252</v>
      </c>
      <c r="N16" s="6">
        <v>0.218</v>
      </c>
      <c r="O16" s="1">
        <v>95</v>
      </c>
      <c r="P16" s="6">
        <v>89</v>
      </c>
      <c r="Q16" s="1" t="s">
        <v>44</v>
      </c>
      <c r="R16" s="1">
        <v>1</v>
      </c>
      <c r="S16" s="1" t="s">
        <v>31</v>
      </c>
      <c r="T16" s="6">
        <v>3</v>
      </c>
      <c r="U16" s="1">
        <v>10</v>
      </c>
      <c r="V16" s="1">
        <v>10</v>
      </c>
      <c r="W16" s="9">
        <v>0.53</v>
      </c>
    </row>
    <row r="17" spans="1:23" s="1" customFormat="1" x14ac:dyDescent="0.2">
      <c r="A17" s="5" t="s">
        <v>76</v>
      </c>
      <c r="B17" s="1">
        <v>1899</v>
      </c>
      <c r="C17" s="1" t="s">
        <v>22</v>
      </c>
      <c r="D17" s="1">
        <v>13</v>
      </c>
      <c r="E17" s="5">
        <v>28.51</v>
      </c>
      <c r="F17" s="6">
        <v>28.61</v>
      </c>
      <c r="G17" s="1">
        <v>43.2</v>
      </c>
      <c r="H17" s="1">
        <v>38.1</v>
      </c>
      <c r="I17" s="1">
        <v>37.299999999999997</v>
      </c>
      <c r="J17" s="6">
        <v>47.5</v>
      </c>
      <c r="K17" s="1">
        <v>0.4</v>
      </c>
      <c r="L17" s="6">
        <v>1.1000000000000001</v>
      </c>
      <c r="M17" s="5">
        <v>0.27100000000000002</v>
      </c>
      <c r="N17" s="6">
        <v>0.20699999999999999</v>
      </c>
      <c r="O17" s="1">
        <v>96</v>
      </c>
      <c r="P17" s="6">
        <v>90</v>
      </c>
      <c r="Q17" s="1" t="s">
        <v>42</v>
      </c>
      <c r="R17" s="1">
        <v>1</v>
      </c>
      <c r="S17" s="1" t="s">
        <v>38</v>
      </c>
      <c r="T17" s="6">
        <v>2</v>
      </c>
      <c r="U17" s="1">
        <v>9</v>
      </c>
      <c r="V17" s="1">
        <v>4</v>
      </c>
      <c r="W17" s="9">
        <v>0.04</v>
      </c>
    </row>
    <row r="18" spans="1:23" s="1" customFormat="1" x14ac:dyDescent="0.2">
      <c r="A18" s="5" t="s">
        <v>76</v>
      </c>
      <c r="B18" s="1">
        <v>1899</v>
      </c>
      <c r="C18" s="1" t="s">
        <v>22</v>
      </c>
      <c r="D18" s="1">
        <v>14</v>
      </c>
      <c r="E18" s="5">
        <v>29</v>
      </c>
      <c r="F18" s="6">
        <v>29.2</v>
      </c>
      <c r="G18" s="1">
        <v>41.6</v>
      </c>
      <c r="H18" s="1">
        <v>43</v>
      </c>
      <c r="I18" s="1">
        <v>36.1</v>
      </c>
      <c r="J18" s="6">
        <v>47.9</v>
      </c>
      <c r="K18" s="1">
        <v>2.6</v>
      </c>
      <c r="L18" s="6">
        <v>1.8</v>
      </c>
      <c r="M18" s="5">
        <v>0.21</v>
      </c>
      <c r="N18" s="6">
        <v>0.23799999999999999</v>
      </c>
      <c r="O18" s="1">
        <v>80</v>
      </c>
      <c r="P18" s="6">
        <v>86</v>
      </c>
      <c r="Q18" s="1" t="s">
        <v>39</v>
      </c>
      <c r="R18" s="1">
        <v>1</v>
      </c>
      <c r="S18" s="1" t="s">
        <v>32</v>
      </c>
      <c r="T18" s="6">
        <v>2</v>
      </c>
      <c r="U18" s="1">
        <v>3</v>
      </c>
      <c r="V18" s="1">
        <v>10</v>
      </c>
      <c r="W18" s="9">
        <v>0.01</v>
      </c>
    </row>
    <row r="19" spans="1:23" s="1" customFormat="1" x14ac:dyDescent="0.2">
      <c r="A19" s="5" t="s">
        <v>76</v>
      </c>
      <c r="B19" s="1">
        <v>1899</v>
      </c>
      <c r="C19" s="1" t="s">
        <v>22</v>
      </c>
      <c r="D19" s="1">
        <v>15</v>
      </c>
      <c r="E19" s="5">
        <v>29.51</v>
      </c>
      <c r="F19" s="6">
        <v>29.51</v>
      </c>
      <c r="G19" s="1">
        <v>41.1</v>
      </c>
      <c r="H19" s="1">
        <v>37.299999999999997</v>
      </c>
      <c r="I19" s="1">
        <v>30.4</v>
      </c>
      <c r="J19" s="6">
        <v>49.7</v>
      </c>
      <c r="K19" s="1">
        <v>2.1</v>
      </c>
      <c r="L19" s="6">
        <v>1.1000000000000001</v>
      </c>
      <c r="M19" s="5">
        <v>0.214</v>
      </c>
      <c r="N19" s="6">
        <v>0.20100000000000001</v>
      </c>
      <c r="O19" s="1">
        <v>83</v>
      </c>
      <c r="P19" s="6">
        <v>91</v>
      </c>
      <c r="Q19" s="1" t="s">
        <v>31</v>
      </c>
      <c r="R19" s="1">
        <v>0.5</v>
      </c>
      <c r="S19" s="1" t="s">
        <v>38</v>
      </c>
      <c r="T19" s="6">
        <v>2</v>
      </c>
      <c r="U19" s="1">
        <v>1</v>
      </c>
      <c r="V19" s="1">
        <v>7</v>
      </c>
      <c r="W19" s="9">
        <v>0.08</v>
      </c>
    </row>
    <row r="20" spans="1:23" s="1" customFormat="1" x14ac:dyDescent="0.2">
      <c r="A20" s="5" t="s">
        <v>76</v>
      </c>
      <c r="B20" s="1">
        <v>1899</v>
      </c>
      <c r="C20" s="1" t="s">
        <v>22</v>
      </c>
      <c r="D20" s="1">
        <v>16</v>
      </c>
      <c r="E20" s="5">
        <v>29.4</v>
      </c>
      <c r="F20" s="6">
        <v>29.49</v>
      </c>
      <c r="G20" s="1">
        <v>44.4</v>
      </c>
      <c r="H20" s="1">
        <v>46.7</v>
      </c>
      <c r="I20" s="1">
        <v>35.799999999999997</v>
      </c>
      <c r="J20" s="6">
        <v>49.1</v>
      </c>
      <c r="K20" s="1">
        <v>1.1000000000000001</v>
      </c>
      <c r="L20" s="6">
        <v>0.7</v>
      </c>
      <c r="M20" s="5">
        <v>0.26700000000000002</v>
      </c>
      <c r="N20" s="6">
        <v>0.30199999999999999</v>
      </c>
      <c r="O20" s="1">
        <v>91</v>
      </c>
      <c r="P20" s="6">
        <v>95</v>
      </c>
      <c r="Q20" s="1" t="s">
        <v>32</v>
      </c>
      <c r="R20" s="1">
        <v>3</v>
      </c>
      <c r="S20" s="1" t="s">
        <v>38</v>
      </c>
      <c r="T20" s="6">
        <v>3</v>
      </c>
      <c r="U20" s="1">
        <v>10</v>
      </c>
      <c r="V20" s="1">
        <v>10</v>
      </c>
      <c r="W20" s="9">
        <v>0.17</v>
      </c>
    </row>
    <row r="21" spans="1:23" s="1" customFormat="1" x14ac:dyDescent="0.2">
      <c r="A21" s="5" t="s">
        <v>76</v>
      </c>
      <c r="B21" s="1">
        <v>1899</v>
      </c>
      <c r="C21" s="1" t="s">
        <v>22</v>
      </c>
      <c r="D21" s="1">
        <v>17</v>
      </c>
      <c r="E21" s="5">
        <v>29.61</v>
      </c>
      <c r="F21" s="6">
        <v>29.78</v>
      </c>
      <c r="G21" s="1">
        <v>44.7</v>
      </c>
      <c r="H21" s="1">
        <v>43</v>
      </c>
      <c r="I21" s="1">
        <v>41.4</v>
      </c>
      <c r="J21" s="6">
        <v>48.8</v>
      </c>
      <c r="K21" s="1">
        <v>0.3</v>
      </c>
      <c r="L21" s="6">
        <v>0.2</v>
      </c>
      <c r="M21" s="5">
        <v>0.28799999999999998</v>
      </c>
      <c r="N21" s="6">
        <v>0.27300000000000002</v>
      </c>
      <c r="O21" s="1">
        <v>98</v>
      </c>
      <c r="P21" s="6">
        <v>98</v>
      </c>
      <c r="Q21" s="1" t="s">
        <v>36</v>
      </c>
      <c r="R21" s="1">
        <v>0</v>
      </c>
      <c r="S21" s="1" t="s">
        <v>36</v>
      </c>
      <c r="T21" s="6">
        <v>0</v>
      </c>
      <c r="U21" s="1">
        <v>10</v>
      </c>
      <c r="V21" s="1">
        <v>10</v>
      </c>
      <c r="W21" s="9">
        <v>0.09</v>
      </c>
    </row>
    <row r="22" spans="1:23" s="1" customFormat="1" x14ac:dyDescent="0.2">
      <c r="A22" s="5" t="s">
        <v>76</v>
      </c>
      <c r="B22" s="1">
        <v>1899</v>
      </c>
      <c r="C22" s="1" t="s">
        <v>22</v>
      </c>
      <c r="D22" s="1">
        <v>18</v>
      </c>
      <c r="E22" s="5">
        <v>29.88</v>
      </c>
      <c r="F22" s="6">
        <v>29.94</v>
      </c>
      <c r="G22" s="1">
        <v>43.6</v>
      </c>
      <c r="H22" s="1">
        <v>39.700000000000003</v>
      </c>
      <c r="I22" s="1">
        <v>38.9</v>
      </c>
      <c r="J22" s="6">
        <v>49.2</v>
      </c>
      <c r="K22" s="1">
        <v>1.6</v>
      </c>
      <c r="L22" s="6">
        <v>1.1000000000000001</v>
      </c>
      <c r="M22" s="5">
        <v>0.248</v>
      </c>
      <c r="N22" s="6">
        <v>0.222</v>
      </c>
      <c r="O22" s="1">
        <v>87</v>
      </c>
      <c r="P22" s="6">
        <v>91</v>
      </c>
      <c r="Q22" s="1" t="s">
        <v>30</v>
      </c>
      <c r="R22" s="1">
        <v>1</v>
      </c>
      <c r="S22" s="1" t="s">
        <v>47</v>
      </c>
      <c r="T22" s="6">
        <v>0.5</v>
      </c>
      <c r="U22" s="1">
        <v>8</v>
      </c>
      <c r="V22" s="1">
        <v>9</v>
      </c>
      <c r="W22" s="9" t="s">
        <v>25</v>
      </c>
    </row>
    <row r="23" spans="1:23" s="1" customFormat="1" x14ac:dyDescent="0.2">
      <c r="A23" s="5" t="s">
        <v>76</v>
      </c>
      <c r="B23" s="1">
        <v>1899</v>
      </c>
      <c r="C23" s="1" t="s">
        <v>22</v>
      </c>
      <c r="D23" s="1">
        <v>19</v>
      </c>
      <c r="E23" s="5">
        <v>30.04</v>
      </c>
      <c r="F23" s="6">
        <v>30.11</v>
      </c>
      <c r="G23" s="1">
        <v>36</v>
      </c>
      <c r="H23" s="1">
        <v>31.5</v>
      </c>
      <c r="I23" s="1">
        <v>26.8</v>
      </c>
      <c r="J23" s="6">
        <v>49.5</v>
      </c>
      <c r="K23" s="1">
        <v>1.5</v>
      </c>
      <c r="L23" s="6">
        <v>0.2</v>
      </c>
      <c r="M23" s="5">
        <v>0.184</v>
      </c>
      <c r="N23" s="6">
        <v>0.17299999999999999</v>
      </c>
      <c r="O23" s="1">
        <v>87</v>
      </c>
      <c r="P23" s="6">
        <v>98</v>
      </c>
      <c r="Q23" s="1" t="s">
        <v>47</v>
      </c>
      <c r="R23" s="1">
        <v>1</v>
      </c>
      <c r="S23" s="1" t="s">
        <v>36</v>
      </c>
      <c r="T23" s="6">
        <v>0</v>
      </c>
      <c r="U23" s="1">
        <v>1</v>
      </c>
      <c r="V23" s="1">
        <v>0</v>
      </c>
      <c r="W23" s="9" t="s">
        <v>25</v>
      </c>
    </row>
    <row r="24" spans="1:23" s="1" customFormat="1" x14ac:dyDescent="0.2">
      <c r="A24" s="5" t="s">
        <v>76</v>
      </c>
      <c r="B24" s="1">
        <v>1899</v>
      </c>
      <c r="C24" s="1" t="s">
        <v>22</v>
      </c>
      <c r="D24" s="1">
        <v>20</v>
      </c>
      <c r="E24" s="5">
        <v>30.05</v>
      </c>
      <c r="F24" s="6">
        <v>29.88</v>
      </c>
      <c r="G24" s="1">
        <v>39.799999999999997</v>
      </c>
      <c r="H24" s="1">
        <v>43.9</v>
      </c>
      <c r="I24" s="1">
        <v>25.7</v>
      </c>
      <c r="J24" s="6">
        <v>43.9</v>
      </c>
      <c r="K24" s="1">
        <v>1.1000000000000001</v>
      </c>
      <c r="L24" s="6">
        <v>1</v>
      </c>
      <c r="M24" s="5">
        <v>0.223</v>
      </c>
      <c r="N24" s="6">
        <v>0.26500000000000001</v>
      </c>
      <c r="O24" s="1">
        <v>92</v>
      </c>
      <c r="P24" s="6">
        <v>92</v>
      </c>
      <c r="Q24" s="1" t="s">
        <v>47</v>
      </c>
      <c r="R24" s="1">
        <v>2</v>
      </c>
      <c r="S24" s="1" t="s">
        <v>31</v>
      </c>
      <c r="T24" s="6">
        <v>3</v>
      </c>
      <c r="U24" s="1">
        <v>10</v>
      </c>
      <c r="V24" s="1">
        <v>10</v>
      </c>
      <c r="W24" s="9">
        <v>7.0000000000000007E-2</v>
      </c>
    </row>
    <row r="25" spans="1:23" s="1" customFormat="1" x14ac:dyDescent="0.2">
      <c r="A25" s="5" t="s">
        <v>76</v>
      </c>
      <c r="B25" s="1">
        <v>1899</v>
      </c>
      <c r="C25" s="1" t="s">
        <v>22</v>
      </c>
      <c r="D25" s="1">
        <v>21</v>
      </c>
      <c r="E25" s="5">
        <v>29.99</v>
      </c>
      <c r="F25" s="6">
        <v>30.01</v>
      </c>
      <c r="G25" s="1">
        <v>46.2</v>
      </c>
      <c r="H25" s="1">
        <v>41.8</v>
      </c>
      <c r="I25" s="1">
        <v>39.200000000000003</v>
      </c>
      <c r="J25" s="6">
        <v>49.7</v>
      </c>
      <c r="K25" s="1">
        <v>1</v>
      </c>
      <c r="L25" s="6">
        <v>2.2000000000000002</v>
      </c>
      <c r="M25" s="5">
        <v>0.28999999999999998</v>
      </c>
      <c r="N25" s="6">
        <v>0.221</v>
      </c>
      <c r="O25" s="1">
        <v>93</v>
      </c>
      <c r="P25" s="6">
        <v>84</v>
      </c>
      <c r="Q25" s="1" t="s">
        <v>32</v>
      </c>
      <c r="R25" s="1">
        <v>3</v>
      </c>
      <c r="S25" s="1" t="s">
        <v>31</v>
      </c>
      <c r="T25" s="6">
        <v>2</v>
      </c>
      <c r="U25" s="1">
        <v>10</v>
      </c>
      <c r="V25" s="1">
        <v>0</v>
      </c>
      <c r="W25" s="9" t="s">
        <v>25</v>
      </c>
    </row>
    <row r="26" spans="1:23" s="1" customFormat="1" x14ac:dyDescent="0.2">
      <c r="A26" s="5" t="s">
        <v>76</v>
      </c>
      <c r="B26" s="1">
        <v>1899</v>
      </c>
      <c r="C26" s="1" t="s">
        <v>22</v>
      </c>
      <c r="D26" s="1">
        <v>22</v>
      </c>
      <c r="E26" s="5">
        <v>30.03</v>
      </c>
      <c r="F26" s="6">
        <v>30.01</v>
      </c>
      <c r="G26" s="1">
        <v>40.799999999999997</v>
      </c>
      <c r="H26" s="1">
        <v>42.7</v>
      </c>
      <c r="I26" s="1">
        <v>37.299999999999997</v>
      </c>
      <c r="J26" s="6">
        <v>44.4</v>
      </c>
      <c r="K26" s="1">
        <v>1.2</v>
      </c>
      <c r="L26" s="6">
        <v>0.9</v>
      </c>
      <c r="M26" s="5">
        <v>0.23</v>
      </c>
      <c r="N26" s="6">
        <v>0.255</v>
      </c>
      <c r="O26" s="1">
        <v>91</v>
      </c>
      <c r="P26" s="6">
        <v>92</v>
      </c>
      <c r="Q26" s="1" t="s">
        <v>31</v>
      </c>
      <c r="R26" s="1">
        <v>2</v>
      </c>
      <c r="S26" s="1" t="s">
        <v>32</v>
      </c>
      <c r="T26" s="6">
        <v>2</v>
      </c>
      <c r="U26" s="1">
        <v>10</v>
      </c>
      <c r="V26" s="1">
        <v>10</v>
      </c>
      <c r="W26" s="9" t="s">
        <v>25</v>
      </c>
    </row>
    <row r="27" spans="1:23" s="1" customFormat="1" x14ac:dyDescent="0.2">
      <c r="A27" s="5" t="s">
        <v>76</v>
      </c>
      <c r="B27" s="1">
        <v>1899</v>
      </c>
      <c r="C27" s="1" t="s">
        <v>22</v>
      </c>
      <c r="D27" s="1">
        <v>23</v>
      </c>
      <c r="E27" s="5">
        <v>29.96</v>
      </c>
      <c r="F27" s="6">
        <v>29.99</v>
      </c>
      <c r="G27" s="1">
        <v>38.5</v>
      </c>
      <c r="H27" s="1">
        <v>45.2</v>
      </c>
      <c r="I27" s="1">
        <v>33.4</v>
      </c>
      <c r="J27" s="6">
        <v>49.2</v>
      </c>
      <c r="K27" s="1">
        <v>1.5</v>
      </c>
      <c r="L27" s="6">
        <v>1.9</v>
      </c>
      <c r="M27" s="5">
        <v>0.20300000000000001</v>
      </c>
      <c r="N27" s="6">
        <v>0.25800000000000001</v>
      </c>
      <c r="O27" s="1">
        <v>87</v>
      </c>
      <c r="P27" s="6">
        <v>86</v>
      </c>
      <c r="Q27" s="1" t="s">
        <v>31</v>
      </c>
      <c r="R27" s="1">
        <v>1</v>
      </c>
      <c r="S27" s="1" t="s">
        <v>31</v>
      </c>
      <c r="T27" s="6">
        <v>1</v>
      </c>
      <c r="U27" s="1">
        <v>2</v>
      </c>
      <c r="V27" s="1">
        <v>10</v>
      </c>
      <c r="W27" s="9" t="s">
        <v>25</v>
      </c>
    </row>
    <row r="28" spans="1:23" s="1" customFormat="1" x14ac:dyDescent="0.2">
      <c r="A28" s="5" t="s">
        <v>76</v>
      </c>
      <c r="B28" s="1">
        <v>1899</v>
      </c>
      <c r="C28" s="1" t="s">
        <v>22</v>
      </c>
      <c r="D28" s="1">
        <v>24</v>
      </c>
      <c r="E28" s="5">
        <v>30</v>
      </c>
      <c r="F28" s="6">
        <v>29.99</v>
      </c>
      <c r="G28" s="1">
        <v>46</v>
      </c>
      <c r="H28" s="1">
        <v>45.8</v>
      </c>
      <c r="I28" s="1">
        <v>40.4</v>
      </c>
      <c r="J28" s="6">
        <v>51.8</v>
      </c>
      <c r="K28" s="1">
        <v>1.3</v>
      </c>
      <c r="L28" s="6">
        <v>1</v>
      </c>
      <c r="M28" s="5">
        <v>0.28000000000000003</v>
      </c>
      <c r="N28" s="6">
        <v>0.28599999999999998</v>
      </c>
      <c r="O28" s="1">
        <v>91</v>
      </c>
      <c r="P28" s="6">
        <v>93</v>
      </c>
      <c r="Q28" s="1" t="s">
        <v>31</v>
      </c>
      <c r="R28" s="1">
        <v>1</v>
      </c>
      <c r="S28" s="1" t="s">
        <v>31</v>
      </c>
      <c r="T28" s="6">
        <v>3</v>
      </c>
      <c r="U28" s="1">
        <v>7</v>
      </c>
      <c r="V28" s="1">
        <v>10</v>
      </c>
      <c r="W28" s="9" t="s">
        <v>25</v>
      </c>
    </row>
    <row r="29" spans="1:23" s="1" customFormat="1" x14ac:dyDescent="0.2">
      <c r="A29" s="5" t="s">
        <v>76</v>
      </c>
      <c r="B29" s="1">
        <v>1899</v>
      </c>
      <c r="C29" s="1" t="s">
        <v>22</v>
      </c>
      <c r="D29" s="1">
        <v>25</v>
      </c>
      <c r="E29" s="5">
        <v>30</v>
      </c>
      <c r="F29" s="6">
        <v>30.05</v>
      </c>
      <c r="G29" s="1">
        <v>44.8</v>
      </c>
      <c r="H29" s="1">
        <v>41.8</v>
      </c>
      <c r="I29" s="1">
        <v>41.2</v>
      </c>
      <c r="J29" s="6">
        <v>50.2</v>
      </c>
      <c r="K29" s="1">
        <v>1.2</v>
      </c>
      <c r="L29" s="6">
        <v>1</v>
      </c>
      <c r="M29" s="5">
        <v>0.26900000000000002</v>
      </c>
      <c r="N29" s="6">
        <v>0.245</v>
      </c>
      <c r="O29" s="1">
        <v>91</v>
      </c>
      <c r="P29" s="6">
        <v>92</v>
      </c>
      <c r="Q29" s="1" t="s">
        <v>31</v>
      </c>
      <c r="R29" s="1">
        <v>3</v>
      </c>
      <c r="S29" s="1" t="s">
        <v>32</v>
      </c>
      <c r="T29" s="6">
        <v>2</v>
      </c>
      <c r="U29" s="1">
        <v>9</v>
      </c>
      <c r="V29" s="1">
        <v>8</v>
      </c>
      <c r="W29" s="9" t="s">
        <v>25</v>
      </c>
    </row>
    <row r="30" spans="1:23" s="1" customFormat="1" x14ac:dyDescent="0.2">
      <c r="A30" s="5" t="s">
        <v>76</v>
      </c>
      <c r="B30" s="1">
        <v>1899</v>
      </c>
      <c r="C30" s="1" t="s">
        <v>22</v>
      </c>
      <c r="D30" s="1">
        <v>26</v>
      </c>
      <c r="E30" s="5">
        <v>30.09</v>
      </c>
      <c r="F30" s="6">
        <v>30.15</v>
      </c>
      <c r="G30" s="1">
        <v>40.799999999999997</v>
      </c>
      <c r="H30" s="1">
        <v>35.5</v>
      </c>
      <c r="I30" s="1">
        <v>34.799999999999997</v>
      </c>
      <c r="J30" s="6">
        <v>49.1</v>
      </c>
      <c r="K30" s="1">
        <v>1.4</v>
      </c>
      <c r="L30" s="6">
        <v>0.7</v>
      </c>
      <c r="M30" s="5">
        <v>0.22500000000000001</v>
      </c>
      <c r="N30" s="6">
        <v>0.19500000000000001</v>
      </c>
      <c r="O30" s="1">
        <v>89</v>
      </c>
      <c r="P30" s="6">
        <v>94</v>
      </c>
      <c r="Q30" s="1" t="s">
        <v>31</v>
      </c>
      <c r="R30" s="1">
        <v>2</v>
      </c>
      <c r="S30" s="1" t="s">
        <v>31</v>
      </c>
      <c r="T30" s="6">
        <v>0.5</v>
      </c>
      <c r="U30" s="1">
        <v>2</v>
      </c>
      <c r="V30" s="1">
        <v>0</v>
      </c>
      <c r="W30" s="9" t="s">
        <v>25</v>
      </c>
    </row>
    <row r="31" spans="1:23" s="1" customFormat="1" x14ac:dyDescent="0.2">
      <c r="A31" s="5" t="s">
        <v>76</v>
      </c>
      <c r="B31" s="1">
        <v>1899</v>
      </c>
      <c r="C31" s="1" t="s">
        <v>22</v>
      </c>
      <c r="D31" s="1">
        <v>27</v>
      </c>
      <c r="E31" s="5">
        <v>30.24</v>
      </c>
      <c r="F31" s="6">
        <v>30.3</v>
      </c>
      <c r="G31" s="1">
        <v>36.4</v>
      </c>
      <c r="H31" s="1">
        <v>44.6</v>
      </c>
      <c r="I31" s="1">
        <v>29.9</v>
      </c>
      <c r="J31" s="6">
        <v>48.9</v>
      </c>
      <c r="K31" s="1">
        <v>1.4</v>
      </c>
      <c r="L31" s="6">
        <v>1.6</v>
      </c>
      <c r="M31" s="5">
        <v>0.189</v>
      </c>
      <c r="N31" s="6">
        <v>0.25800000000000001</v>
      </c>
      <c r="O31" s="1">
        <v>88</v>
      </c>
      <c r="P31" s="6">
        <v>88</v>
      </c>
      <c r="Q31" s="1" t="s">
        <v>31</v>
      </c>
      <c r="R31" s="1">
        <v>1</v>
      </c>
      <c r="S31" s="1" t="s">
        <v>38</v>
      </c>
      <c r="T31" s="6">
        <v>1</v>
      </c>
      <c r="U31" s="1">
        <v>0</v>
      </c>
      <c r="V31" s="1">
        <v>8</v>
      </c>
      <c r="W31" s="9" t="s">
        <v>25</v>
      </c>
    </row>
    <row r="32" spans="1:23" s="1" customFormat="1" x14ac:dyDescent="0.2">
      <c r="A32" s="5" t="s">
        <v>76</v>
      </c>
      <c r="B32" s="1">
        <v>1899</v>
      </c>
      <c r="C32" s="1" t="s">
        <v>22</v>
      </c>
      <c r="D32" s="1">
        <v>28</v>
      </c>
      <c r="E32" s="5">
        <v>30.38</v>
      </c>
      <c r="F32" s="6">
        <v>30.44</v>
      </c>
      <c r="G32" s="1">
        <v>43.2</v>
      </c>
      <c r="H32" s="1">
        <v>46.5</v>
      </c>
      <c r="I32" s="1">
        <v>36.799999999999997</v>
      </c>
      <c r="J32" s="6">
        <v>49.5</v>
      </c>
      <c r="K32" s="1">
        <v>1.9</v>
      </c>
      <c r="L32" s="6">
        <v>1.1000000000000001</v>
      </c>
      <c r="M32" s="5">
        <v>0.23799999999999999</v>
      </c>
      <c r="N32" s="6">
        <v>0.29099999999999998</v>
      </c>
      <c r="O32" s="1">
        <v>85</v>
      </c>
      <c r="P32" s="6">
        <v>92</v>
      </c>
      <c r="Q32" s="1" t="s">
        <v>38</v>
      </c>
      <c r="R32" s="1">
        <v>1</v>
      </c>
      <c r="S32" s="1" t="s">
        <v>38</v>
      </c>
      <c r="T32" s="6">
        <v>0.5</v>
      </c>
      <c r="U32" s="1">
        <v>10</v>
      </c>
      <c r="V32" s="1">
        <v>9</v>
      </c>
      <c r="W32" s="9">
        <v>0.1</v>
      </c>
    </row>
    <row r="33" spans="1:23" s="1" customFormat="1" x14ac:dyDescent="0.2">
      <c r="A33" s="10"/>
      <c r="B33" s="11"/>
      <c r="C33" s="11"/>
      <c r="D33" s="12" t="s">
        <v>45</v>
      </c>
      <c r="E33" s="11">
        <v>29.521999999999998</v>
      </c>
      <c r="F33" s="12">
        <v>29.530999999999999</v>
      </c>
      <c r="G33" s="10">
        <v>41.4</v>
      </c>
      <c r="H33" s="11">
        <v>40.700000000000003</v>
      </c>
      <c r="I33" s="11">
        <v>34.9</v>
      </c>
      <c r="J33" s="12">
        <v>47.7</v>
      </c>
      <c r="K33" s="10">
        <v>1.3</v>
      </c>
      <c r="L33" s="12">
        <v>1</v>
      </c>
      <c r="M33" s="11">
        <v>0.23699999999999999</v>
      </c>
      <c r="N33" s="11">
        <v>0.23499999999999999</v>
      </c>
      <c r="O33" s="10">
        <v>89.2</v>
      </c>
      <c r="P33" s="12">
        <v>91.3</v>
      </c>
      <c r="Q33" s="10" t="s">
        <v>25</v>
      </c>
      <c r="R33" s="11">
        <v>1.6</v>
      </c>
      <c r="S33" s="11" t="s">
        <v>25</v>
      </c>
      <c r="T33" s="12">
        <v>1.9</v>
      </c>
      <c r="U33" s="10">
        <v>7.2</v>
      </c>
      <c r="V33" s="12">
        <v>7</v>
      </c>
      <c r="W33" s="13">
        <v>3.33</v>
      </c>
    </row>
  </sheetData>
  <mergeCells count="8">
    <mergeCell ref="K3:L3"/>
    <mergeCell ref="M3:N3"/>
    <mergeCell ref="O3:P3"/>
    <mergeCell ref="E2:F2"/>
    <mergeCell ref="G2:J2"/>
    <mergeCell ref="K2:P2"/>
    <mergeCell ref="Q2:T2"/>
    <mergeCell ref="U2:V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A7423-C2C7-4634-AC7C-BDA41601DD7D}">
  <dimension ref="A2:W34"/>
  <sheetViews>
    <sheetView topLeftCell="P15" workbookViewId="0">
      <selection activeCell="W34" sqref="W34"/>
    </sheetView>
  </sheetViews>
  <sheetFormatPr baseColWidth="10" defaultColWidth="8.83203125" defaultRowHeight="15" x14ac:dyDescent="0.2"/>
  <cols>
    <col min="1" max="1" width="20.5" customWidth="1"/>
  </cols>
  <sheetData>
    <row r="2" spans="1:23" s="2" customFormat="1" ht="32" x14ac:dyDescent="0.2">
      <c r="A2" s="14"/>
      <c r="B2" s="15"/>
      <c r="C2" s="15"/>
      <c r="D2" s="15"/>
      <c r="E2" s="31" t="s">
        <v>0</v>
      </c>
      <c r="F2" s="32"/>
      <c r="G2" s="33" t="s">
        <v>1</v>
      </c>
      <c r="H2" s="33"/>
      <c r="I2" s="33"/>
      <c r="J2" s="34"/>
      <c r="K2" s="29" t="s">
        <v>2</v>
      </c>
      <c r="L2" s="33"/>
      <c r="M2" s="33"/>
      <c r="N2" s="33"/>
      <c r="O2" s="33"/>
      <c r="P2" s="34"/>
      <c r="Q2" s="33" t="s">
        <v>3</v>
      </c>
      <c r="R2" s="33"/>
      <c r="S2" s="33"/>
      <c r="T2" s="34"/>
      <c r="U2" s="29" t="s">
        <v>4</v>
      </c>
      <c r="V2" s="30"/>
      <c r="W2" s="7" t="s">
        <v>5</v>
      </c>
    </row>
    <row r="3" spans="1:23" s="2" customFormat="1" x14ac:dyDescent="0.2">
      <c r="A3" s="3"/>
      <c r="E3" s="16"/>
      <c r="F3" s="17"/>
      <c r="J3" s="4"/>
      <c r="K3" s="35" t="s">
        <v>6</v>
      </c>
      <c r="L3" s="36"/>
      <c r="M3" s="35" t="s">
        <v>7</v>
      </c>
      <c r="N3" s="36"/>
      <c r="O3" s="37" t="s">
        <v>8</v>
      </c>
      <c r="P3" s="38"/>
      <c r="T3" s="4"/>
      <c r="V3" s="1"/>
      <c r="W3" s="18"/>
    </row>
    <row r="4" spans="1:23" s="2" customFormat="1" x14ac:dyDescent="0.2">
      <c r="A4" s="3" t="s">
        <v>9</v>
      </c>
      <c r="B4" s="2" t="s">
        <v>10</v>
      </c>
      <c r="C4" s="2" t="s">
        <v>11</v>
      </c>
      <c r="D4" s="2" t="s">
        <v>12</v>
      </c>
      <c r="E4" s="3" t="s">
        <v>13</v>
      </c>
      <c r="F4" s="4" t="s">
        <v>14</v>
      </c>
      <c r="G4" s="2" t="s">
        <v>13</v>
      </c>
      <c r="H4" s="2" t="s">
        <v>14</v>
      </c>
      <c r="I4" s="2" t="s">
        <v>15</v>
      </c>
      <c r="J4" s="4" t="s">
        <v>16</v>
      </c>
      <c r="K4" s="2" t="s">
        <v>13</v>
      </c>
      <c r="L4" s="4" t="s">
        <v>14</v>
      </c>
      <c r="M4" s="3" t="s">
        <v>13</v>
      </c>
      <c r="N4" s="4" t="s">
        <v>14</v>
      </c>
      <c r="O4" s="2" t="s">
        <v>13</v>
      </c>
      <c r="P4" s="4" t="s">
        <v>14</v>
      </c>
      <c r="Q4" s="2" t="s">
        <v>17</v>
      </c>
      <c r="R4" s="2" t="s">
        <v>18</v>
      </c>
      <c r="S4" s="2" t="s">
        <v>19</v>
      </c>
      <c r="T4" s="4" t="s">
        <v>20</v>
      </c>
      <c r="U4" s="2" t="s">
        <v>13</v>
      </c>
      <c r="V4" s="2" t="s">
        <v>14</v>
      </c>
      <c r="W4" s="8" t="s">
        <v>13</v>
      </c>
    </row>
    <row r="5" spans="1:23" s="1" customFormat="1" x14ac:dyDescent="0.2">
      <c r="A5" s="5" t="s">
        <v>77</v>
      </c>
      <c r="B5" s="1">
        <v>1899</v>
      </c>
      <c r="C5" s="1" t="s">
        <v>22</v>
      </c>
      <c r="D5" s="1">
        <v>1</v>
      </c>
      <c r="E5" s="5">
        <v>29.35</v>
      </c>
      <c r="F5" s="6">
        <v>29.37</v>
      </c>
      <c r="G5" s="1">
        <v>32.700000000000003</v>
      </c>
      <c r="H5" s="1">
        <v>37.799999999999997</v>
      </c>
      <c r="I5" s="1">
        <v>31.5</v>
      </c>
      <c r="J5" s="6">
        <v>38.1</v>
      </c>
      <c r="K5" s="1">
        <v>0.8</v>
      </c>
      <c r="L5" s="6">
        <v>3</v>
      </c>
      <c r="M5" s="5">
        <v>0.16900000000000001</v>
      </c>
      <c r="N5" s="6">
        <v>0.17299999999999999</v>
      </c>
      <c r="O5" s="1">
        <v>91</v>
      </c>
      <c r="P5" s="6">
        <v>75</v>
      </c>
      <c r="Q5" s="1" t="s">
        <v>36</v>
      </c>
      <c r="R5" s="1">
        <v>0</v>
      </c>
      <c r="S5" s="1" t="s">
        <v>30</v>
      </c>
      <c r="T5" s="6">
        <v>1</v>
      </c>
      <c r="U5" s="1">
        <v>8</v>
      </c>
      <c r="V5" s="1">
        <v>2</v>
      </c>
      <c r="W5" s="9">
        <v>7.4999999999999997E-2</v>
      </c>
    </row>
    <row r="6" spans="1:23" s="1" customFormat="1" x14ac:dyDescent="0.2">
      <c r="A6" s="5" t="s">
        <v>77</v>
      </c>
      <c r="B6" s="1">
        <v>1899</v>
      </c>
      <c r="C6" s="1" t="s">
        <v>22</v>
      </c>
      <c r="D6" s="1">
        <v>2</v>
      </c>
      <c r="E6" s="5">
        <v>29.47</v>
      </c>
      <c r="F6" s="6">
        <v>29.62</v>
      </c>
      <c r="G6" s="1">
        <v>34.9</v>
      </c>
      <c r="H6" s="1">
        <v>31.7</v>
      </c>
      <c r="I6" s="1">
        <v>30.8</v>
      </c>
      <c r="J6" s="6">
        <v>39.700000000000003</v>
      </c>
      <c r="K6" s="1">
        <v>2.8</v>
      </c>
      <c r="L6" s="6">
        <v>1.5</v>
      </c>
      <c r="M6" s="5">
        <v>0.151</v>
      </c>
      <c r="N6" s="6">
        <v>0.14499999999999999</v>
      </c>
      <c r="O6" s="1">
        <v>74</v>
      </c>
      <c r="P6" s="6">
        <v>80</v>
      </c>
      <c r="Q6" s="1" t="s">
        <v>36</v>
      </c>
      <c r="R6" s="1">
        <v>0</v>
      </c>
      <c r="S6" s="1" t="s">
        <v>36</v>
      </c>
      <c r="T6" s="6">
        <v>0</v>
      </c>
      <c r="U6" s="1">
        <v>9</v>
      </c>
      <c r="V6" s="1">
        <v>2</v>
      </c>
      <c r="W6" s="9" t="s">
        <v>25</v>
      </c>
    </row>
    <row r="7" spans="1:23" s="1" customFormat="1" x14ac:dyDescent="0.2">
      <c r="A7" s="5" t="s">
        <v>77</v>
      </c>
      <c r="B7" s="1">
        <v>1899</v>
      </c>
      <c r="C7" s="1" t="s">
        <v>22</v>
      </c>
      <c r="D7" s="1">
        <v>3</v>
      </c>
      <c r="E7" s="5">
        <v>29.72</v>
      </c>
      <c r="F7" s="6">
        <v>29.74</v>
      </c>
      <c r="G7" s="1">
        <v>26</v>
      </c>
      <c r="H7" s="1">
        <v>26.2</v>
      </c>
      <c r="I7" s="1">
        <v>22.6</v>
      </c>
      <c r="J7" s="6">
        <v>39.9</v>
      </c>
      <c r="K7" s="1">
        <v>0.4</v>
      </c>
      <c r="L7" s="6">
        <v>0.8</v>
      </c>
      <c r="M7" s="5">
        <v>0.127</v>
      </c>
      <c r="N7" s="6">
        <v>0.11600000000000001</v>
      </c>
      <c r="O7" s="1">
        <v>90</v>
      </c>
      <c r="P7" s="6">
        <v>82</v>
      </c>
      <c r="Q7" s="1" t="s">
        <v>36</v>
      </c>
      <c r="R7" s="1">
        <v>0</v>
      </c>
      <c r="S7" s="1" t="s">
        <v>36</v>
      </c>
      <c r="T7" s="6">
        <v>0</v>
      </c>
      <c r="U7" s="1">
        <v>6</v>
      </c>
      <c r="V7" s="1">
        <v>0</v>
      </c>
      <c r="W7" s="9" t="s">
        <v>25</v>
      </c>
    </row>
    <row r="8" spans="1:23" s="1" customFormat="1" x14ac:dyDescent="0.2">
      <c r="A8" s="5" t="s">
        <v>77</v>
      </c>
      <c r="B8" s="1">
        <v>1899</v>
      </c>
      <c r="C8" s="1" t="s">
        <v>22</v>
      </c>
      <c r="D8" s="1">
        <v>4</v>
      </c>
      <c r="E8" s="5">
        <v>29.58</v>
      </c>
      <c r="F8" s="6">
        <v>29.41</v>
      </c>
      <c r="G8" s="1">
        <v>39.5</v>
      </c>
      <c r="H8" s="1">
        <v>41.3</v>
      </c>
      <c r="I8" s="1">
        <v>25.4</v>
      </c>
      <c r="J8" s="6">
        <v>43.4</v>
      </c>
      <c r="K8" s="1">
        <v>4</v>
      </c>
      <c r="L8" s="6">
        <v>0.4</v>
      </c>
      <c r="M8" s="5">
        <v>0.16900000000000001</v>
      </c>
      <c r="N8" s="6">
        <v>0.252</v>
      </c>
      <c r="O8" s="1">
        <v>70</v>
      </c>
      <c r="P8" s="6">
        <v>97</v>
      </c>
      <c r="Q8" s="1" t="s">
        <v>33</v>
      </c>
      <c r="R8" s="1">
        <v>1</v>
      </c>
      <c r="S8" s="1" t="s">
        <v>32</v>
      </c>
      <c r="T8" s="6">
        <v>1</v>
      </c>
      <c r="U8" s="1">
        <v>10</v>
      </c>
      <c r="V8" s="1">
        <v>10</v>
      </c>
      <c r="W8" s="9">
        <v>0.02</v>
      </c>
    </row>
    <row r="9" spans="1:23" s="1" customFormat="1" x14ac:dyDescent="0.2">
      <c r="A9" s="5" t="s">
        <v>77</v>
      </c>
      <c r="B9" s="1">
        <v>1899</v>
      </c>
      <c r="C9" s="1" t="s">
        <v>22</v>
      </c>
      <c r="D9" s="1">
        <v>5</v>
      </c>
      <c r="E9" s="5">
        <v>29.41</v>
      </c>
      <c r="F9" s="6">
        <v>29.45</v>
      </c>
      <c r="G9" s="1">
        <v>42.1</v>
      </c>
      <c r="H9" s="1">
        <v>41.4</v>
      </c>
      <c r="I9" s="1">
        <v>36.700000000000003</v>
      </c>
      <c r="J9" s="6">
        <v>43.8</v>
      </c>
      <c r="K9" s="1">
        <v>0.2</v>
      </c>
      <c r="L9" s="6">
        <v>1.5</v>
      </c>
      <c r="M9" s="5">
        <v>0.26400000000000001</v>
      </c>
      <c r="N9" s="6">
        <v>0.23</v>
      </c>
      <c r="O9" s="1">
        <v>98</v>
      </c>
      <c r="P9" s="6">
        <v>89</v>
      </c>
      <c r="Q9" s="1" t="s">
        <v>36</v>
      </c>
      <c r="R9" s="1">
        <v>0</v>
      </c>
      <c r="S9" s="1" t="s">
        <v>33</v>
      </c>
      <c r="T9" s="6">
        <v>2</v>
      </c>
      <c r="U9" s="1">
        <v>10</v>
      </c>
      <c r="V9" s="1">
        <v>10</v>
      </c>
      <c r="W9" s="9">
        <v>0.17</v>
      </c>
    </row>
    <row r="10" spans="1:23" s="1" customFormat="1" x14ac:dyDescent="0.2">
      <c r="A10" s="5" t="s">
        <v>77</v>
      </c>
      <c r="B10" s="1">
        <v>1899</v>
      </c>
      <c r="C10" s="1" t="s">
        <v>22</v>
      </c>
      <c r="D10" s="1">
        <v>6</v>
      </c>
      <c r="E10" s="5">
        <v>29.45</v>
      </c>
      <c r="F10" s="6">
        <v>29.29</v>
      </c>
      <c r="G10" s="1">
        <v>43.5</v>
      </c>
      <c r="H10" s="1">
        <v>42.2</v>
      </c>
      <c r="I10" s="1">
        <v>39.700000000000003</v>
      </c>
      <c r="J10" s="6">
        <v>47.4</v>
      </c>
      <c r="K10" s="1">
        <v>1.2</v>
      </c>
      <c r="L10" s="6">
        <v>2.1</v>
      </c>
      <c r="M10" s="5">
        <v>0.25600000000000001</v>
      </c>
      <c r="N10" s="6">
        <v>0.22500000000000001</v>
      </c>
      <c r="O10" s="1">
        <v>90</v>
      </c>
      <c r="P10" s="6">
        <v>85</v>
      </c>
      <c r="Q10" s="1" t="s">
        <v>32</v>
      </c>
      <c r="R10" s="1">
        <v>1</v>
      </c>
      <c r="S10" s="1" t="s">
        <v>31</v>
      </c>
      <c r="T10" s="6">
        <v>3</v>
      </c>
      <c r="U10" s="1">
        <v>8</v>
      </c>
      <c r="V10" s="1">
        <v>10</v>
      </c>
      <c r="W10" s="9">
        <v>7.0000000000000007E-2</v>
      </c>
    </row>
    <row r="11" spans="1:23" s="1" customFormat="1" x14ac:dyDescent="0.2">
      <c r="A11" s="5" t="s">
        <v>77</v>
      </c>
      <c r="B11" s="1">
        <v>1899</v>
      </c>
      <c r="C11" s="1" t="s">
        <v>22</v>
      </c>
      <c r="D11" s="1">
        <v>7</v>
      </c>
      <c r="E11" s="5">
        <v>29.02</v>
      </c>
      <c r="F11" s="6">
        <v>29.05</v>
      </c>
      <c r="G11" s="1">
        <v>48.1</v>
      </c>
      <c r="H11" s="1">
        <v>47.1</v>
      </c>
      <c r="I11" s="1">
        <v>40.799999999999997</v>
      </c>
      <c r="J11" s="6">
        <v>52</v>
      </c>
      <c r="K11" s="1">
        <v>3.6</v>
      </c>
      <c r="L11" s="6">
        <v>3</v>
      </c>
      <c r="M11" s="5">
        <v>0.252</v>
      </c>
      <c r="N11" s="6">
        <v>0.254</v>
      </c>
      <c r="O11" s="1">
        <v>75</v>
      </c>
      <c r="P11" s="6">
        <v>79</v>
      </c>
      <c r="Q11" s="1" t="s">
        <v>39</v>
      </c>
      <c r="R11" s="1">
        <v>2</v>
      </c>
      <c r="S11" s="1" t="s">
        <v>32</v>
      </c>
      <c r="T11" s="6">
        <v>1</v>
      </c>
      <c r="U11" s="1">
        <v>6</v>
      </c>
      <c r="V11" s="1">
        <v>8</v>
      </c>
      <c r="W11" s="9">
        <v>0.02</v>
      </c>
    </row>
    <row r="12" spans="1:23" s="1" customFormat="1" x14ac:dyDescent="0.2">
      <c r="A12" s="5" t="s">
        <v>77</v>
      </c>
      <c r="B12" s="1">
        <v>1899</v>
      </c>
      <c r="C12" s="1" t="s">
        <v>22</v>
      </c>
      <c r="D12" s="1">
        <v>8</v>
      </c>
      <c r="E12" s="5">
        <v>28.95</v>
      </c>
      <c r="F12" s="6">
        <v>28.81</v>
      </c>
      <c r="G12" s="1">
        <v>49.3</v>
      </c>
      <c r="H12" s="1">
        <v>45.4</v>
      </c>
      <c r="I12" s="1">
        <v>44.7</v>
      </c>
      <c r="J12" s="6">
        <v>55.1</v>
      </c>
      <c r="K12" s="1">
        <v>4.5999999999999996</v>
      </c>
      <c r="L12" s="6">
        <v>2.8</v>
      </c>
      <c r="M12" s="5">
        <v>0.246</v>
      </c>
      <c r="N12" s="6">
        <v>0.24199999999999999</v>
      </c>
      <c r="O12" s="1">
        <v>70</v>
      </c>
      <c r="P12" s="6">
        <v>80</v>
      </c>
      <c r="Q12" s="1" t="s">
        <v>33</v>
      </c>
      <c r="R12" s="1">
        <v>1</v>
      </c>
      <c r="S12" s="1" t="s">
        <v>35</v>
      </c>
      <c r="T12" s="6">
        <v>4</v>
      </c>
      <c r="U12" s="1">
        <v>10</v>
      </c>
      <c r="V12" s="1">
        <v>0</v>
      </c>
      <c r="W12" s="9">
        <v>0.09</v>
      </c>
    </row>
    <row r="13" spans="1:23" s="1" customFormat="1" x14ac:dyDescent="0.2">
      <c r="A13" s="5" t="s">
        <v>77</v>
      </c>
      <c r="B13" s="1">
        <v>1899</v>
      </c>
      <c r="C13" s="1" t="s">
        <v>22</v>
      </c>
      <c r="D13" s="1">
        <v>9</v>
      </c>
      <c r="E13" s="5">
        <v>29</v>
      </c>
      <c r="F13" s="6">
        <v>28.8</v>
      </c>
      <c r="G13" s="1">
        <v>49.8</v>
      </c>
      <c r="H13" s="1">
        <v>50.6</v>
      </c>
      <c r="I13" s="1">
        <v>40.1</v>
      </c>
      <c r="J13" s="6">
        <v>55.3</v>
      </c>
      <c r="K13" s="1">
        <v>2.7</v>
      </c>
      <c r="L13" s="6">
        <v>4</v>
      </c>
      <c r="M13" s="5">
        <v>0.28999999999999998</v>
      </c>
      <c r="N13" s="6">
        <v>0.27200000000000002</v>
      </c>
      <c r="O13" s="1">
        <v>82</v>
      </c>
      <c r="P13" s="6">
        <v>74</v>
      </c>
      <c r="Q13" s="1" t="s">
        <v>39</v>
      </c>
      <c r="R13" s="1">
        <v>2</v>
      </c>
      <c r="S13" s="1" t="s">
        <v>35</v>
      </c>
      <c r="T13" s="6">
        <v>5</v>
      </c>
      <c r="U13" s="1">
        <v>10</v>
      </c>
      <c r="V13" s="1">
        <v>2</v>
      </c>
      <c r="W13" s="9">
        <v>0.12</v>
      </c>
    </row>
    <row r="14" spans="1:23" s="1" customFormat="1" x14ac:dyDescent="0.2">
      <c r="A14" s="5" t="s">
        <v>77</v>
      </c>
      <c r="B14" s="1">
        <v>1899</v>
      </c>
      <c r="C14" s="1" t="s">
        <v>22</v>
      </c>
      <c r="D14" s="1">
        <v>10</v>
      </c>
      <c r="E14" s="5">
        <v>28.9</v>
      </c>
      <c r="F14" s="6">
        <v>29.03</v>
      </c>
      <c r="G14" s="1">
        <v>51.4</v>
      </c>
      <c r="H14" s="1">
        <v>49.6</v>
      </c>
      <c r="I14" s="1">
        <v>39.9</v>
      </c>
      <c r="J14" s="6">
        <v>53.8</v>
      </c>
      <c r="K14" s="1">
        <v>2.4</v>
      </c>
      <c r="L14" s="6">
        <v>3.1</v>
      </c>
      <c r="M14" s="5">
        <v>0.318</v>
      </c>
      <c r="N14" s="6">
        <v>0.28000000000000003</v>
      </c>
      <c r="O14" s="1">
        <v>84</v>
      </c>
      <c r="P14" s="6">
        <v>80</v>
      </c>
      <c r="Q14" s="1" t="s">
        <v>39</v>
      </c>
      <c r="R14" s="1">
        <v>3</v>
      </c>
      <c r="S14" s="1" t="s">
        <v>39</v>
      </c>
      <c r="T14" s="6">
        <v>5</v>
      </c>
      <c r="U14" s="1">
        <v>9</v>
      </c>
      <c r="V14" s="1">
        <v>0</v>
      </c>
      <c r="W14" s="9">
        <v>0.02</v>
      </c>
    </row>
    <row r="15" spans="1:23" s="1" customFormat="1" x14ac:dyDescent="0.2">
      <c r="A15" s="5" t="s">
        <v>77</v>
      </c>
      <c r="B15" s="1">
        <v>1899</v>
      </c>
      <c r="C15" s="1" t="s">
        <v>22</v>
      </c>
      <c r="D15" s="1">
        <v>11</v>
      </c>
      <c r="E15" s="5">
        <v>29.07</v>
      </c>
      <c r="F15" s="6">
        <v>28.83</v>
      </c>
      <c r="G15" s="1">
        <v>50.1</v>
      </c>
      <c r="H15" s="1">
        <v>44.1</v>
      </c>
      <c r="I15" s="1">
        <v>42.9</v>
      </c>
      <c r="J15" s="6">
        <v>53.3</v>
      </c>
      <c r="K15" s="1">
        <v>3.1</v>
      </c>
      <c r="L15" s="6">
        <v>1.5</v>
      </c>
      <c r="M15" s="5">
        <v>0.28499999999999998</v>
      </c>
      <c r="N15" s="6">
        <v>0.25600000000000001</v>
      </c>
      <c r="O15" s="1">
        <v>79</v>
      </c>
      <c r="P15" s="6">
        <v>88</v>
      </c>
      <c r="Q15" s="1" t="s">
        <v>39</v>
      </c>
      <c r="R15" s="1">
        <v>2</v>
      </c>
      <c r="S15" s="1" t="s">
        <v>35</v>
      </c>
      <c r="T15" s="6">
        <v>1</v>
      </c>
      <c r="U15" s="1">
        <v>7</v>
      </c>
      <c r="V15" s="1">
        <v>8</v>
      </c>
      <c r="W15" s="9">
        <v>0.20499999999999999</v>
      </c>
    </row>
    <row r="16" spans="1:23" s="1" customFormat="1" x14ac:dyDescent="0.2">
      <c r="A16" s="5" t="s">
        <v>77</v>
      </c>
      <c r="B16" s="1">
        <v>1899</v>
      </c>
      <c r="C16" s="1" t="s">
        <v>22</v>
      </c>
      <c r="D16" s="1">
        <v>12</v>
      </c>
      <c r="E16" s="5">
        <v>28.77</v>
      </c>
      <c r="F16" s="6">
        <v>29.03</v>
      </c>
      <c r="G16" s="1">
        <v>40.6</v>
      </c>
      <c r="H16" s="1">
        <v>42.2</v>
      </c>
      <c r="I16" s="1">
        <v>37.200000000000003</v>
      </c>
      <c r="J16" s="6">
        <v>46.5</v>
      </c>
      <c r="K16" s="1">
        <v>0.7</v>
      </c>
      <c r="L16" s="6">
        <v>2.9</v>
      </c>
      <c r="M16" s="5">
        <v>0.23799999999999999</v>
      </c>
      <c r="N16" s="6">
        <v>0.21</v>
      </c>
      <c r="O16" s="1">
        <v>94</v>
      </c>
      <c r="P16" s="6">
        <v>79</v>
      </c>
      <c r="Q16" s="1" t="s">
        <v>36</v>
      </c>
      <c r="R16" s="1">
        <v>0</v>
      </c>
      <c r="S16" s="1" t="s">
        <v>32</v>
      </c>
      <c r="T16" s="6">
        <v>1</v>
      </c>
      <c r="U16" s="1">
        <v>9</v>
      </c>
      <c r="V16" s="1">
        <v>6</v>
      </c>
      <c r="W16" s="9">
        <v>0.03</v>
      </c>
    </row>
    <row r="17" spans="1:23" s="1" customFormat="1" x14ac:dyDescent="0.2">
      <c r="A17" s="5" t="s">
        <v>77</v>
      </c>
      <c r="B17" s="1">
        <v>1899</v>
      </c>
      <c r="C17" s="1" t="s">
        <v>22</v>
      </c>
      <c r="D17" s="1">
        <v>13</v>
      </c>
      <c r="E17" s="5">
        <v>28.61</v>
      </c>
      <c r="F17" s="6">
        <v>28.75</v>
      </c>
      <c r="G17" s="1">
        <v>50.5</v>
      </c>
      <c r="H17" s="1">
        <v>41.5</v>
      </c>
      <c r="I17" s="1">
        <v>40.299999999999997</v>
      </c>
      <c r="J17" s="6">
        <v>51.1</v>
      </c>
      <c r="K17" s="1">
        <v>3.8</v>
      </c>
      <c r="L17" s="6">
        <v>3.5</v>
      </c>
      <c r="M17" s="5">
        <v>0.27500000000000002</v>
      </c>
      <c r="N17" s="6">
        <v>0.193</v>
      </c>
      <c r="O17" s="1">
        <v>75</v>
      </c>
      <c r="P17" s="6">
        <v>74</v>
      </c>
      <c r="Q17" s="1" t="s">
        <v>39</v>
      </c>
      <c r="R17" s="1">
        <v>3</v>
      </c>
      <c r="S17" s="1" t="s">
        <v>35</v>
      </c>
      <c r="T17" s="6">
        <v>2</v>
      </c>
      <c r="U17" s="1">
        <v>9</v>
      </c>
      <c r="V17" s="1">
        <v>0</v>
      </c>
      <c r="W17" s="9">
        <v>6.5000000000000002E-2</v>
      </c>
    </row>
    <row r="18" spans="1:23" s="1" customFormat="1" x14ac:dyDescent="0.2">
      <c r="A18" s="5" t="s">
        <v>77</v>
      </c>
      <c r="B18" s="1">
        <v>1899</v>
      </c>
      <c r="C18" s="1" t="s">
        <v>22</v>
      </c>
      <c r="D18" s="1">
        <v>14</v>
      </c>
      <c r="E18" s="5">
        <v>29.11</v>
      </c>
      <c r="F18" s="6">
        <v>29.32</v>
      </c>
      <c r="G18" s="1">
        <v>42.5</v>
      </c>
      <c r="H18" s="1">
        <v>43.1</v>
      </c>
      <c r="I18" s="1">
        <v>39.700000000000003</v>
      </c>
      <c r="J18" s="6">
        <v>49</v>
      </c>
      <c r="K18" s="1">
        <v>3.2</v>
      </c>
      <c r="L18" s="6">
        <v>2.2000000000000002</v>
      </c>
      <c r="M18" s="5">
        <v>0.20699999999999999</v>
      </c>
      <c r="N18" s="6">
        <v>0.23100000000000001</v>
      </c>
      <c r="O18" s="1">
        <v>76</v>
      </c>
      <c r="P18" s="6">
        <v>82</v>
      </c>
      <c r="Q18" s="1" t="s">
        <v>35</v>
      </c>
      <c r="R18" s="1">
        <v>3</v>
      </c>
      <c r="S18" s="1" t="s">
        <v>39</v>
      </c>
      <c r="T18" s="6">
        <v>1</v>
      </c>
      <c r="U18" s="1">
        <v>2</v>
      </c>
      <c r="V18" s="1">
        <v>1</v>
      </c>
      <c r="W18" s="9" t="s">
        <v>25</v>
      </c>
    </row>
    <row r="19" spans="1:23" s="1" customFormat="1" x14ac:dyDescent="0.2">
      <c r="A19" s="5" t="s">
        <v>77</v>
      </c>
      <c r="B19" s="1">
        <v>1899</v>
      </c>
      <c r="C19" s="1" t="s">
        <v>22</v>
      </c>
      <c r="D19" s="1">
        <v>15</v>
      </c>
      <c r="E19" s="5">
        <v>29.55</v>
      </c>
      <c r="F19" s="6">
        <v>29.59</v>
      </c>
      <c r="G19" s="1">
        <v>40.9</v>
      </c>
      <c r="H19" s="1">
        <v>30.7</v>
      </c>
      <c r="I19" s="1">
        <v>30.1</v>
      </c>
      <c r="J19" s="6">
        <v>43.9</v>
      </c>
      <c r="K19" s="1">
        <v>2.5</v>
      </c>
      <c r="L19" s="6">
        <v>0.4</v>
      </c>
      <c r="M19" s="5">
        <v>0.20599999999999999</v>
      </c>
      <c r="N19" s="6">
        <v>0.16200000000000001</v>
      </c>
      <c r="O19" s="1">
        <v>81</v>
      </c>
      <c r="P19" s="6">
        <v>94</v>
      </c>
      <c r="Q19" s="1" t="s">
        <v>36</v>
      </c>
      <c r="R19" s="1">
        <v>0</v>
      </c>
      <c r="S19" s="1" t="s">
        <v>36</v>
      </c>
      <c r="T19" s="6">
        <v>0</v>
      </c>
      <c r="U19" s="1">
        <v>0</v>
      </c>
      <c r="V19" s="1">
        <v>0</v>
      </c>
      <c r="W19" s="9" t="s">
        <v>25</v>
      </c>
    </row>
    <row r="20" spans="1:23" s="1" customFormat="1" x14ac:dyDescent="0.2">
      <c r="A20" s="5" t="s">
        <v>77</v>
      </c>
      <c r="B20" s="1">
        <v>1899</v>
      </c>
      <c r="C20" s="1" t="s">
        <v>22</v>
      </c>
      <c r="D20" s="1">
        <v>16</v>
      </c>
      <c r="E20" s="5">
        <v>29.55</v>
      </c>
      <c r="F20" s="6">
        <v>29.6</v>
      </c>
      <c r="G20" s="1">
        <v>45.7</v>
      </c>
      <c r="H20" s="1">
        <v>48.1</v>
      </c>
      <c r="I20" s="1">
        <v>29.2</v>
      </c>
      <c r="J20" s="6">
        <v>49.8</v>
      </c>
      <c r="K20" s="1">
        <v>3</v>
      </c>
      <c r="L20" s="6">
        <v>4.0999999999999996</v>
      </c>
      <c r="M20" s="5">
        <v>0.24099999999999999</v>
      </c>
      <c r="N20" s="6">
        <v>0.24199999999999999</v>
      </c>
      <c r="O20" s="1">
        <v>79</v>
      </c>
      <c r="P20" s="6">
        <v>72</v>
      </c>
      <c r="Q20" s="1" t="s">
        <v>39</v>
      </c>
      <c r="R20" s="1">
        <v>2</v>
      </c>
      <c r="S20" s="1" t="s">
        <v>39</v>
      </c>
      <c r="T20" s="6">
        <v>4</v>
      </c>
      <c r="U20" s="1">
        <v>9</v>
      </c>
      <c r="V20" s="1">
        <v>8</v>
      </c>
      <c r="W20" s="9" t="s">
        <v>25</v>
      </c>
    </row>
    <row r="21" spans="1:23" s="1" customFormat="1" x14ac:dyDescent="0.2">
      <c r="A21" s="5" t="s">
        <v>77</v>
      </c>
      <c r="B21" s="1">
        <v>1899</v>
      </c>
      <c r="C21" s="1" t="s">
        <v>22</v>
      </c>
      <c r="D21" s="1">
        <v>17</v>
      </c>
      <c r="E21" s="5">
        <v>29.67</v>
      </c>
      <c r="F21" s="6">
        <v>29.78</v>
      </c>
      <c r="G21" s="1">
        <v>49.4</v>
      </c>
      <c r="H21" s="1">
        <v>45.4</v>
      </c>
      <c r="I21" s="1">
        <v>44.8</v>
      </c>
      <c r="J21" s="6">
        <v>52.2</v>
      </c>
      <c r="K21" s="1">
        <v>3.3</v>
      </c>
      <c r="L21" s="6">
        <v>1.4</v>
      </c>
      <c r="M21" s="5">
        <v>0.27400000000000002</v>
      </c>
      <c r="N21" s="6">
        <v>0.27100000000000002</v>
      </c>
      <c r="O21" s="1">
        <v>78</v>
      </c>
      <c r="P21" s="6">
        <v>90</v>
      </c>
      <c r="Q21" s="1" t="s">
        <v>39</v>
      </c>
      <c r="R21" s="1">
        <v>1</v>
      </c>
      <c r="S21" s="1" t="s">
        <v>36</v>
      </c>
      <c r="T21" s="6">
        <v>0</v>
      </c>
      <c r="U21" s="1">
        <v>6</v>
      </c>
      <c r="V21" s="1">
        <v>10</v>
      </c>
      <c r="W21" s="9">
        <v>0.06</v>
      </c>
    </row>
    <row r="22" spans="1:23" s="1" customFormat="1" x14ac:dyDescent="0.2">
      <c r="A22" s="5" t="s">
        <v>77</v>
      </c>
      <c r="B22" s="1">
        <v>1899</v>
      </c>
      <c r="C22" s="1" t="s">
        <v>22</v>
      </c>
      <c r="D22" s="1">
        <v>18</v>
      </c>
      <c r="E22" s="5">
        <v>29.82</v>
      </c>
      <c r="F22" s="6">
        <v>29.92</v>
      </c>
      <c r="G22" s="1">
        <v>44.5</v>
      </c>
      <c r="H22" s="1">
        <v>43.9</v>
      </c>
      <c r="I22" s="1">
        <v>43.2</v>
      </c>
      <c r="J22" s="6">
        <v>47.4</v>
      </c>
      <c r="K22" s="1">
        <v>0.3</v>
      </c>
      <c r="L22" s="6">
        <v>0.6</v>
      </c>
      <c r="M22" s="5">
        <v>0.28599999999999998</v>
      </c>
      <c r="N22" s="6">
        <v>0.27300000000000002</v>
      </c>
      <c r="O22" s="1">
        <v>98</v>
      </c>
      <c r="P22" s="6">
        <v>95</v>
      </c>
      <c r="Q22" s="1" t="s">
        <v>36</v>
      </c>
      <c r="R22" s="1">
        <v>0</v>
      </c>
      <c r="S22" s="1" t="s">
        <v>36</v>
      </c>
      <c r="T22" s="6">
        <v>0</v>
      </c>
      <c r="U22" s="1">
        <v>10</v>
      </c>
      <c r="V22" s="1">
        <v>10</v>
      </c>
      <c r="W22" s="9">
        <v>0.01</v>
      </c>
    </row>
    <row r="23" spans="1:23" s="1" customFormat="1" x14ac:dyDescent="0.2">
      <c r="A23" s="5" t="s">
        <v>77</v>
      </c>
      <c r="B23" s="1">
        <v>1899</v>
      </c>
      <c r="C23" s="1" t="s">
        <v>22</v>
      </c>
      <c r="D23" s="1">
        <v>19</v>
      </c>
      <c r="E23" s="5">
        <v>30.05</v>
      </c>
      <c r="F23" s="6">
        <v>30.13</v>
      </c>
      <c r="G23" s="1">
        <v>38.6</v>
      </c>
      <c r="H23" s="1">
        <v>33.700000000000003</v>
      </c>
      <c r="I23" s="1">
        <v>31.8</v>
      </c>
      <c r="J23" s="6">
        <v>49.8</v>
      </c>
      <c r="K23" s="1">
        <v>0.7</v>
      </c>
      <c r="L23" s="6">
        <v>0.2</v>
      </c>
      <c r="M23" s="5">
        <v>0.221</v>
      </c>
      <c r="N23" s="6">
        <v>0.19</v>
      </c>
      <c r="O23" s="1">
        <v>95</v>
      </c>
      <c r="P23" s="6">
        <v>98</v>
      </c>
      <c r="Q23" s="1" t="s">
        <v>36</v>
      </c>
      <c r="R23" s="1">
        <v>0</v>
      </c>
      <c r="S23" s="1" t="s">
        <v>36</v>
      </c>
      <c r="T23" s="6">
        <v>0</v>
      </c>
      <c r="U23" s="1">
        <v>4</v>
      </c>
      <c r="V23" s="1">
        <v>7</v>
      </c>
      <c r="W23" s="9">
        <v>5.0000000000000001E-3</v>
      </c>
    </row>
    <row r="24" spans="1:23" s="1" customFormat="1" x14ac:dyDescent="0.2">
      <c r="A24" s="5" t="s">
        <v>77</v>
      </c>
      <c r="B24" s="1">
        <v>1899</v>
      </c>
      <c r="C24" s="1" t="s">
        <v>22</v>
      </c>
      <c r="D24" s="1">
        <v>20</v>
      </c>
      <c r="E24" s="5">
        <v>30.03</v>
      </c>
      <c r="F24" s="6">
        <v>29.95</v>
      </c>
      <c r="G24" s="1">
        <v>43.5</v>
      </c>
      <c r="H24" s="1">
        <v>45.2</v>
      </c>
      <c r="I24" s="1">
        <v>31.5</v>
      </c>
      <c r="J24" s="6">
        <v>45.7</v>
      </c>
      <c r="K24" s="1">
        <v>1.8</v>
      </c>
      <c r="L24" s="6">
        <v>0.5</v>
      </c>
      <c r="M24" s="5">
        <v>0.24399999999999999</v>
      </c>
      <c r="N24" s="6">
        <v>0.28999999999999998</v>
      </c>
      <c r="O24" s="1">
        <v>86</v>
      </c>
      <c r="P24" s="6">
        <v>97</v>
      </c>
      <c r="Q24" s="1" t="s">
        <v>43</v>
      </c>
      <c r="R24" s="1">
        <v>2</v>
      </c>
      <c r="S24" s="1" t="s">
        <v>31</v>
      </c>
      <c r="T24" s="6">
        <v>1</v>
      </c>
      <c r="U24" s="1">
        <v>10</v>
      </c>
      <c r="V24" s="1">
        <v>10</v>
      </c>
      <c r="W24" s="9">
        <v>0.44500000000000001</v>
      </c>
    </row>
    <row r="25" spans="1:23" s="1" customFormat="1" x14ac:dyDescent="0.2">
      <c r="A25" s="5" t="s">
        <v>77</v>
      </c>
      <c r="B25" s="1">
        <v>1899</v>
      </c>
      <c r="C25" s="1" t="s">
        <v>22</v>
      </c>
      <c r="D25" s="1">
        <v>21</v>
      </c>
      <c r="E25" s="5">
        <v>30.06</v>
      </c>
      <c r="F25" s="6">
        <v>30.05</v>
      </c>
      <c r="G25" s="1">
        <v>44.9</v>
      </c>
      <c r="H25" s="1">
        <v>44.7</v>
      </c>
      <c r="I25" s="1">
        <v>36.9</v>
      </c>
      <c r="J25" s="6">
        <v>49.2</v>
      </c>
      <c r="K25" s="1">
        <v>1.1000000000000001</v>
      </c>
      <c r="L25" s="6">
        <v>0.9</v>
      </c>
      <c r="M25" s="5">
        <v>0.27200000000000002</v>
      </c>
      <c r="N25" s="6">
        <v>0.27500000000000002</v>
      </c>
      <c r="O25" s="1">
        <v>92</v>
      </c>
      <c r="P25" s="6">
        <v>93</v>
      </c>
      <c r="Q25" s="1" t="s">
        <v>31</v>
      </c>
      <c r="R25" s="1">
        <v>1</v>
      </c>
      <c r="S25" s="1" t="s">
        <v>31</v>
      </c>
      <c r="T25" s="6">
        <v>1</v>
      </c>
      <c r="U25" s="1">
        <v>10</v>
      </c>
      <c r="V25" s="1">
        <v>0</v>
      </c>
      <c r="W25" s="9" t="s">
        <v>25</v>
      </c>
    </row>
    <row r="26" spans="1:23" s="1" customFormat="1" x14ac:dyDescent="0.2">
      <c r="A26" s="5" t="s">
        <v>77</v>
      </c>
      <c r="B26" s="1">
        <v>1899</v>
      </c>
      <c r="C26" s="1" t="s">
        <v>22</v>
      </c>
      <c r="D26" s="1">
        <v>22</v>
      </c>
      <c r="E26" s="5">
        <v>30.08</v>
      </c>
      <c r="F26" s="6">
        <v>30.08</v>
      </c>
      <c r="G26" s="1">
        <v>42.7</v>
      </c>
      <c r="H26" s="1">
        <v>30.8</v>
      </c>
      <c r="I26" s="1">
        <v>30.1</v>
      </c>
      <c r="J26" s="6">
        <v>47.7</v>
      </c>
      <c r="K26" s="1">
        <v>2.1</v>
      </c>
      <c r="L26" s="6">
        <v>0.2</v>
      </c>
      <c r="M26" s="5">
        <v>0.23</v>
      </c>
      <c r="N26" s="6">
        <v>0.16700000000000001</v>
      </c>
      <c r="O26" s="1">
        <v>84</v>
      </c>
      <c r="P26" s="6">
        <v>97</v>
      </c>
      <c r="Q26" s="1" t="s">
        <v>31</v>
      </c>
      <c r="R26" s="1">
        <v>1</v>
      </c>
      <c r="S26" s="1" t="s">
        <v>36</v>
      </c>
      <c r="T26" s="6">
        <v>0</v>
      </c>
      <c r="U26" s="1">
        <v>7</v>
      </c>
      <c r="V26" s="1">
        <v>0</v>
      </c>
      <c r="W26" s="9" t="s">
        <v>25</v>
      </c>
    </row>
    <row r="27" spans="1:23" s="1" customFormat="1" x14ac:dyDescent="0.2">
      <c r="A27" s="5" t="s">
        <v>77</v>
      </c>
      <c r="B27" s="1">
        <v>1899</v>
      </c>
      <c r="C27" s="1" t="s">
        <v>22</v>
      </c>
      <c r="D27" s="1">
        <v>23</v>
      </c>
      <c r="E27" s="5">
        <v>30.01</v>
      </c>
      <c r="F27" s="6">
        <v>30.06</v>
      </c>
      <c r="G27" s="1">
        <v>36</v>
      </c>
      <c r="H27" s="1">
        <v>41.5</v>
      </c>
      <c r="I27" s="1">
        <v>30.3</v>
      </c>
      <c r="J27" s="6">
        <v>49.7</v>
      </c>
      <c r="K27" s="1">
        <v>1.2</v>
      </c>
      <c r="L27" s="6">
        <v>1.6</v>
      </c>
      <c r="M27" s="5">
        <v>0.189</v>
      </c>
      <c r="N27" s="6">
        <v>0.22900000000000001</v>
      </c>
      <c r="O27" s="1">
        <v>89</v>
      </c>
      <c r="P27" s="6">
        <v>88</v>
      </c>
      <c r="Q27" s="1" t="s">
        <v>36</v>
      </c>
      <c r="R27" s="1">
        <v>0</v>
      </c>
      <c r="S27" s="1" t="s">
        <v>36</v>
      </c>
      <c r="T27" s="6">
        <v>0</v>
      </c>
      <c r="U27" s="1">
        <v>6</v>
      </c>
      <c r="V27" s="1">
        <v>7</v>
      </c>
      <c r="W27" s="9" t="s">
        <v>25</v>
      </c>
    </row>
    <row r="28" spans="1:23" s="1" customFormat="1" x14ac:dyDescent="0.2">
      <c r="A28" s="5" t="s">
        <v>77</v>
      </c>
      <c r="B28" s="1">
        <v>1899</v>
      </c>
      <c r="C28" s="1" t="s">
        <v>22</v>
      </c>
      <c r="D28" s="1">
        <v>24</v>
      </c>
      <c r="E28" s="5">
        <v>30.07</v>
      </c>
      <c r="F28" s="6">
        <v>30.06</v>
      </c>
      <c r="G28" s="1">
        <v>42.7</v>
      </c>
      <c r="H28" s="1">
        <v>40.9</v>
      </c>
      <c r="I28" s="1">
        <v>32</v>
      </c>
      <c r="J28" s="6">
        <v>49.9</v>
      </c>
      <c r="K28" s="1">
        <v>1</v>
      </c>
      <c r="L28" s="6">
        <v>1</v>
      </c>
      <c r="M28" s="5">
        <v>0.252</v>
      </c>
      <c r="N28" s="6">
        <v>0.23499999999999999</v>
      </c>
      <c r="O28" s="1">
        <v>92</v>
      </c>
      <c r="P28" s="6">
        <v>92</v>
      </c>
      <c r="Q28" s="1" t="s">
        <v>36</v>
      </c>
      <c r="R28" s="1">
        <v>0</v>
      </c>
      <c r="S28" s="1" t="s">
        <v>36</v>
      </c>
      <c r="T28" s="6">
        <v>0</v>
      </c>
      <c r="U28" s="1">
        <v>10</v>
      </c>
      <c r="V28" s="1">
        <v>5</v>
      </c>
      <c r="W28" s="9" t="s">
        <v>25</v>
      </c>
    </row>
    <row r="29" spans="1:23" s="1" customFormat="1" x14ac:dyDescent="0.2">
      <c r="A29" s="5" t="s">
        <v>77</v>
      </c>
      <c r="B29" s="1">
        <v>1899</v>
      </c>
      <c r="C29" s="1" t="s">
        <v>22</v>
      </c>
      <c r="D29" s="1">
        <v>25</v>
      </c>
      <c r="E29" s="5">
        <v>30.07</v>
      </c>
      <c r="F29" s="6">
        <v>30.12</v>
      </c>
      <c r="G29" s="1">
        <v>45.7</v>
      </c>
      <c r="H29" s="1">
        <v>40.5</v>
      </c>
      <c r="I29" s="1">
        <v>39.200000000000003</v>
      </c>
      <c r="J29" s="6">
        <v>51.9</v>
      </c>
      <c r="K29" s="1">
        <v>2.4</v>
      </c>
      <c r="L29" s="6">
        <v>1.1000000000000001</v>
      </c>
      <c r="M29" s="5">
        <v>0.254</v>
      </c>
      <c r="N29" s="6">
        <v>0.22800000000000001</v>
      </c>
      <c r="O29" s="1">
        <v>83</v>
      </c>
      <c r="P29" s="6">
        <v>91</v>
      </c>
      <c r="Q29" s="1" t="s">
        <v>36</v>
      </c>
      <c r="R29" s="1">
        <v>0</v>
      </c>
      <c r="S29" s="1" t="s">
        <v>36</v>
      </c>
      <c r="T29" s="6">
        <v>0</v>
      </c>
      <c r="U29" s="1">
        <v>8</v>
      </c>
      <c r="V29" s="1">
        <v>0</v>
      </c>
      <c r="W29" s="9" t="s">
        <v>25</v>
      </c>
    </row>
    <row r="30" spans="1:23" s="1" customFormat="1" x14ac:dyDescent="0.2">
      <c r="A30" s="5" t="s">
        <v>77</v>
      </c>
      <c r="B30" s="1">
        <v>1899</v>
      </c>
      <c r="C30" s="1" t="s">
        <v>22</v>
      </c>
      <c r="D30" s="1">
        <v>26</v>
      </c>
      <c r="E30" s="5">
        <v>30.15</v>
      </c>
      <c r="F30" s="6">
        <v>30.2</v>
      </c>
      <c r="G30" s="1">
        <v>30.2</v>
      </c>
      <c r="H30" s="1">
        <v>29.8</v>
      </c>
      <c r="I30" s="1">
        <v>27.1</v>
      </c>
      <c r="J30" s="6">
        <v>47.8</v>
      </c>
      <c r="K30" s="1">
        <v>0.5</v>
      </c>
      <c r="L30" s="6">
        <v>0.3</v>
      </c>
      <c r="M30" s="5">
        <v>0.155</v>
      </c>
      <c r="N30" s="6">
        <v>0.158</v>
      </c>
      <c r="O30" s="1">
        <v>92</v>
      </c>
      <c r="P30" s="6">
        <v>95</v>
      </c>
      <c r="Q30" s="1" t="s">
        <v>36</v>
      </c>
      <c r="R30" s="1">
        <v>0</v>
      </c>
      <c r="S30" s="1" t="s">
        <v>36</v>
      </c>
      <c r="T30" s="6">
        <v>0</v>
      </c>
      <c r="U30" s="1">
        <v>4</v>
      </c>
      <c r="V30" s="1">
        <v>0</v>
      </c>
      <c r="W30" s="9" t="s">
        <v>25</v>
      </c>
    </row>
    <row r="31" spans="1:23" s="1" customFormat="1" x14ac:dyDescent="0.2">
      <c r="A31" s="5" t="s">
        <v>77</v>
      </c>
      <c r="B31" s="1">
        <v>1899</v>
      </c>
      <c r="C31" s="1" t="s">
        <v>22</v>
      </c>
      <c r="D31" s="1">
        <v>27</v>
      </c>
      <c r="E31" s="5">
        <v>30.3</v>
      </c>
      <c r="F31" s="6">
        <v>30.37</v>
      </c>
      <c r="G31" s="1">
        <v>29.4</v>
      </c>
      <c r="H31" s="1">
        <v>30</v>
      </c>
      <c r="I31" s="1">
        <v>21.3</v>
      </c>
      <c r="J31" s="6">
        <v>50.2</v>
      </c>
      <c r="K31" s="1">
        <v>0.8</v>
      </c>
      <c r="L31" s="6">
        <v>0.4</v>
      </c>
      <c r="M31" s="5">
        <v>0.14099999999999999</v>
      </c>
      <c r="N31" s="6">
        <v>0.155</v>
      </c>
      <c r="O31" s="1">
        <v>87</v>
      </c>
      <c r="P31" s="6">
        <v>93</v>
      </c>
      <c r="Q31" s="1" t="s">
        <v>36</v>
      </c>
      <c r="R31" s="1">
        <v>0</v>
      </c>
      <c r="S31" s="1" t="s">
        <v>36</v>
      </c>
      <c r="T31" s="6">
        <v>0</v>
      </c>
      <c r="U31" s="1">
        <v>0</v>
      </c>
      <c r="V31" s="1">
        <v>0</v>
      </c>
      <c r="W31" s="9" t="s">
        <v>25</v>
      </c>
    </row>
    <row r="32" spans="1:23" s="1" customFormat="1" x14ac:dyDescent="0.2">
      <c r="A32" s="5" t="s">
        <v>77</v>
      </c>
      <c r="B32" s="1">
        <v>1899</v>
      </c>
      <c r="C32" s="1" t="s">
        <v>22</v>
      </c>
      <c r="D32" s="1">
        <v>28</v>
      </c>
      <c r="E32" s="5">
        <v>30.44</v>
      </c>
      <c r="F32" s="6">
        <v>30.47</v>
      </c>
      <c r="G32" s="1">
        <v>44.4</v>
      </c>
      <c r="H32" s="1">
        <v>46.9</v>
      </c>
      <c r="I32" s="1">
        <v>25.8</v>
      </c>
      <c r="J32" s="6">
        <v>55.2</v>
      </c>
      <c r="K32" s="1">
        <v>3.3</v>
      </c>
      <c r="L32" s="6">
        <v>4.2</v>
      </c>
      <c r="M32" s="5">
        <v>0.222</v>
      </c>
      <c r="N32" s="6">
        <v>0.22800000000000001</v>
      </c>
      <c r="O32" s="1">
        <v>76</v>
      </c>
      <c r="P32" s="6">
        <v>72</v>
      </c>
      <c r="Q32" s="1" t="s">
        <v>35</v>
      </c>
      <c r="R32" s="1">
        <v>1</v>
      </c>
      <c r="S32" s="1" t="s">
        <v>42</v>
      </c>
      <c r="T32" s="6">
        <v>1</v>
      </c>
      <c r="U32" s="1">
        <v>1</v>
      </c>
      <c r="V32" s="1">
        <v>2</v>
      </c>
      <c r="W32" s="9" t="s">
        <v>25</v>
      </c>
    </row>
    <row r="33" spans="1:23" s="1" customFormat="1" x14ac:dyDescent="0.2">
      <c r="A33" s="10"/>
      <c r="B33" s="11"/>
      <c r="C33" s="11"/>
      <c r="D33" s="12" t="s">
        <v>45</v>
      </c>
      <c r="E33" s="11">
        <v>29.58</v>
      </c>
      <c r="F33" s="12">
        <v>29.600999999999999</v>
      </c>
      <c r="G33" s="10">
        <v>42.1</v>
      </c>
      <c r="H33" s="11">
        <v>40.6</v>
      </c>
      <c r="I33" s="11">
        <v>34.5</v>
      </c>
      <c r="J33" s="12">
        <v>48.5</v>
      </c>
      <c r="K33" s="10">
        <v>2.1</v>
      </c>
      <c r="L33" s="12">
        <v>1.8</v>
      </c>
      <c r="M33" s="11">
        <v>0.23</v>
      </c>
      <c r="N33" s="11">
        <v>0.221</v>
      </c>
      <c r="O33" s="10">
        <v>84.3</v>
      </c>
      <c r="P33" s="12">
        <v>86.1</v>
      </c>
      <c r="Q33" s="10" t="s">
        <v>25</v>
      </c>
      <c r="R33" s="11">
        <v>0.9</v>
      </c>
      <c r="S33" s="11" t="s">
        <v>25</v>
      </c>
      <c r="T33" s="12">
        <v>1.2</v>
      </c>
      <c r="U33" s="10">
        <v>7.1</v>
      </c>
      <c r="V33" s="12">
        <v>4.2</v>
      </c>
      <c r="W33" s="13">
        <v>1.405</v>
      </c>
    </row>
    <row r="34" spans="1:23" x14ac:dyDescent="0.2">
      <c r="E34">
        <f>SUM(E5:E32)/28</f>
        <v>29.580714285714286</v>
      </c>
      <c r="F34">
        <f>SUM(F5:F32)/28</f>
        <v>29.602857142857143</v>
      </c>
    </row>
  </sheetData>
  <mergeCells count="8">
    <mergeCell ref="K3:L3"/>
    <mergeCell ref="M3:N3"/>
    <mergeCell ref="O3:P3"/>
    <mergeCell ref="E2:F2"/>
    <mergeCell ref="G2:J2"/>
    <mergeCell ref="K2:P2"/>
    <mergeCell ref="Q2:T2"/>
    <mergeCell ref="U2:V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78F3C-D8F2-4AEA-9D02-7DEF220B388F}">
  <dimension ref="A2:AF36"/>
  <sheetViews>
    <sheetView topLeftCell="N1" workbookViewId="0">
      <selection activeCell="W34" sqref="W34"/>
    </sheetView>
  </sheetViews>
  <sheetFormatPr baseColWidth="10" defaultColWidth="8.83203125" defaultRowHeight="15" x14ac:dyDescent="0.2"/>
  <cols>
    <col min="1" max="1" width="20.5" customWidth="1"/>
  </cols>
  <sheetData>
    <row r="2" spans="1:23" s="2" customFormat="1" ht="32" x14ac:dyDescent="0.2">
      <c r="A2" s="14"/>
      <c r="B2" s="15"/>
      <c r="C2" s="15"/>
      <c r="D2" s="15"/>
      <c r="E2" s="31" t="s">
        <v>0</v>
      </c>
      <c r="F2" s="32"/>
      <c r="G2" s="33" t="s">
        <v>1</v>
      </c>
      <c r="H2" s="33"/>
      <c r="I2" s="33"/>
      <c r="J2" s="34"/>
      <c r="K2" s="29" t="s">
        <v>2</v>
      </c>
      <c r="L2" s="33"/>
      <c r="M2" s="33"/>
      <c r="N2" s="33"/>
      <c r="O2" s="33"/>
      <c r="P2" s="34"/>
      <c r="Q2" s="33" t="s">
        <v>3</v>
      </c>
      <c r="R2" s="33"/>
      <c r="S2" s="33"/>
      <c r="T2" s="34"/>
      <c r="U2" s="29" t="s">
        <v>4</v>
      </c>
      <c r="V2" s="30"/>
      <c r="W2" s="7" t="s">
        <v>5</v>
      </c>
    </row>
    <row r="3" spans="1:23" s="2" customFormat="1" x14ac:dyDescent="0.2">
      <c r="A3" s="3"/>
      <c r="E3" s="16"/>
      <c r="F3" s="17"/>
      <c r="J3" s="4"/>
      <c r="K3" s="35" t="s">
        <v>6</v>
      </c>
      <c r="L3" s="36"/>
      <c r="M3" s="35" t="s">
        <v>7</v>
      </c>
      <c r="N3" s="36"/>
      <c r="O3" s="37" t="s">
        <v>8</v>
      </c>
      <c r="P3" s="38"/>
      <c r="T3" s="4"/>
      <c r="V3" s="1"/>
      <c r="W3" s="18"/>
    </row>
    <row r="4" spans="1:23" s="2" customFormat="1" x14ac:dyDescent="0.2">
      <c r="A4" s="3" t="s">
        <v>9</v>
      </c>
      <c r="B4" s="2" t="s">
        <v>10</v>
      </c>
      <c r="C4" s="2" t="s">
        <v>11</v>
      </c>
      <c r="D4" s="2" t="s">
        <v>12</v>
      </c>
      <c r="E4" s="3" t="s">
        <v>13</v>
      </c>
      <c r="F4" s="4" t="s">
        <v>14</v>
      </c>
      <c r="G4" s="2" t="s">
        <v>13</v>
      </c>
      <c r="H4" s="2" t="s">
        <v>14</v>
      </c>
      <c r="I4" s="2" t="s">
        <v>15</v>
      </c>
      <c r="J4" s="4" t="s">
        <v>16</v>
      </c>
      <c r="K4" s="2" t="s">
        <v>13</v>
      </c>
      <c r="L4" s="4" t="s">
        <v>14</v>
      </c>
      <c r="M4" s="3" t="s">
        <v>13</v>
      </c>
      <c r="N4" s="4" t="s">
        <v>14</v>
      </c>
      <c r="O4" s="2" t="s">
        <v>13</v>
      </c>
      <c r="P4" s="4" t="s">
        <v>14</v>
      </c>
      <c r="Q4" s="2" t="s">
        <v>17</v>
      </c>
      <c r="R4" s="2" t="s">
        <v>18</v>
      </c>
      <c r="S4" s="2" t="s">
        <v>19</v>
      </c>
      <c r="T4" s="4" t="s">
        <v>20</v>
      </c>
      <c r="U4" s="2" t="s">
        <v>13</v>
      </c>
      <c r="V4" s="2" t="s">
        <v>14</v>
      </c>
      <c r="W4" s="8" t="s">
        <v>13</v>
      </c>
    </row>
    <row r="5" spans="1:23" s="1" customFormat="1" x14ac:dyDescent="0.2">
      <c r="A5" s="5" t="s">
        <v>78</v>
      </c>
      <c r="B5" s="1">
        <v>1899</v>
      </c>
      <c r="C5" s="1" t="s">
        <v>22</v>
      </c>
      <c r="D5" s="1">
        <v>1</v>
      </c>
      <c r="E5" s="5">
        <v>29.33</v>
      </c>
      <c r="F5" s="6">
        <v>29.33</v>
      </c>
      <c r="G5" s="1">
        <v>31.7</v>
      </c>
      <c r="H5" s="1">
        <v>31.7</v>
      </c>
      <c r="I5" s="1">
        <v>29.7</v>
      </c>
      <c r="J5" s="6">
        <v>36.799999999999997</v>
      </c>
      <c r="K5" s="1">
        <v>0</v>
      </c>
      <c r="L5" s="6">
        <v>0.6</v>
      </c>
      <c r="M5" s="5">
        <v>0.18</v>
      </c>
      <c r="N5" s="6">
        <v>0.16500000000000001</v>
      </c>
      <c r="O5" s="1">
        <v>100</v>
      </c>
      <c r="P5" s="6">
        <v>92</v>
      </c>
      <c r="Q5" s="1" t="s">
        <v>38</v>
      </c>
      <c r="R5" s="1">
        <v>1</v>
      </c>
      <c r="S5" s="1" t="s">
        <v>24</v>
      </c>
      <c r="T5" s="6">
        <v>1</v>
      </c>
      <c r="U5" s="1">
        <v>10</v>
      </c>
      <c r="V5" s="1">
        <v>3</v>
      </c>
      <c r="W5" s="9" t="s">
        <v>25</v>
      </c>
    </row>
    <row r="6" spans="1:23" s="1" customFormat="1" x14ac:dyDescent="0.2">
      <c r="A6" s="5" t="s">
        <v>78</v>
      </c>
      <c r="B6" s="1">
        <v>1899</v>
      </c>
      <c r="C6" s="1" t="s">
        <v>22</v>
      </c>
      <c r="D6" s="1">
        <v>2</v>
      </c>
      <c r="E6" s="5">
        <v>29.46</v>
      </c>
      <c r="F6" s="6">
        <v>29.59</v>
      </c>
      <c r="G6" s="1">
        <v>29.8</v>
      </c>
      <c r="H6" s="1">
        <v>29.6</v>
      </c>
      <c r="I6" s="1">
        <v>27.8</v>
      </c>
      <c r="J6" s="6">
        <v>36.9</v>
      </c>
      <c r="K6" s="1">
        <v>0.8</v>
      </c>
      <c r="L6" s="6">
        <v>0</v>
      </c>
      <c r="M6" s="5">
        <v>0.14399999999999999</v>
      </c>
      <c r="N6" s="6">
        <v>0.16400000000000001</v>
      </c>
      <c r="O6" s="1">
        <v>86</v>
      </c>
      <c r="P6" s="6">
        <v>100</v>
      </c>
      <c r="Q6" s="1" t="s">
        <v>31</v>
      </c>
      <c r="R6" s="1">
        <v>1</v>
      </c>
      <c r="S6" s="1" t="s">
        <v>36</v>
      </c>
      <c r="T6" s="6">
        <v>0</v>
      </c>
      <c r="U6" s="1">
        <v>4</v>
      </c>
      <c r="V6" s="1">
        <v>1</v>
      </c>
      <c r="W6" s="9" t="s">
        <v>25</v>
      </c>
    </row>
    <row r="7" spans="1:23" s="1" customFormat="1" x14ac:dyDescent="0.2">
      <c r="A7" s="5" t="s">
        <v>78</v>
      </c>
      <c r="B7" s="1">
        <v>1899</v>
      </c>
      <c r="C7" s="1" t="s">
        <v>22</v>
      </c>
      <c r="D7" s="1">
        <v>3</v>
      </c>
      <c r="E7" s="5">
        <v>29.66</v>
      </c>
      <c r="F7" s="6">
        <v>29.62</v>
      </c>
      <c r="G7" s="1">
        <v>23.4</v>
      </c>
      <c r="H7" s="1">
        <v>34.700000000000003</v>
      </c>
      <c r="I7" s="1">
        <v>21</v>
      </c>
      <c r="J7" s="6">
        <v>41.6</v>
      </c>
      <c r="K7" s="1">
        <v>0</v>
      </c>
      <c r="L7" s="6">
        <v>0.7</v>
      </c>
      <c r="M7" s="5">
        <v>0.125</v>
      </c>
      <c r="N7" s="6">
        <v>0.188</v>
      </c>
      <c r="O7" s="1">
        <v>100</v>
      </c>
      <c r="P7" s="6">
        <v>93</v>
      </c>
      <c r="Q7" s="1" t="s">
        <v>36</v>
      </c>
      <c r="R7" s="1">
        <v>0</v>
      </c>
      <c r="S7" s="1" t="s">
        <v>31</v>
      </c>
      <c r="T7" s="6">
        <v>1</v>
      </c>
      <c r="U7" s="1">
        <v>4</v>
      </c>
      <c r="V7" s="1">
        <v>4</v>
      </c>
      <c r="W7" s="9" t="s">
        <v>25</v>
      </c>
    </row>
    <row r="8" spans="1:23" s="1" customFormat="1" x14ac:dyDescent="0.2">
      <c r="A8" s="5" t="s">
        <v>78</v>
      </c>
      <c r="B8" s="1">
        <v>1899</v>
      </c>
      <c r="C8" s="1" t="s">
        <v>22</v>
      </c>
      <c r="D8" s="1">
        <v>4</v>
      </c>
      <c r="E8" s="5">
        <v>29.43</v>
      </c>
      <c r="F8" s="6">
        <v>29.35</v>
      </c>
      <c r="G8" s="1">
        <v>37.9</v>
      </c>
      <c r="H8" s="1">
        <v>43</v>
      </c>
      <c r="I8" s="1">
        <v>33.700000000000003</v>
      </c>
      <c r="J8" s="6">
        <v>43.7</v>
      </c>
      <c r="K8" s="1">
        <v>1</v>
      </c>
      <c r="L8" s="6">
        <v>0.1</v>
      </c>
      <c r="M8" s="5">
        <v>0.20899999999999999</v>
      </c>
      <c r="N8" s="6">
        <v>0.27500000000000002</v>
      </c>
      <c r="O8" s="1">
        <v>92</v>
      </c>
      <c r="P8" s="6">
        <v>99</v>
      </c>
      <c r="Q8" s="1" t="s">
        <v>33</v>
      </c>
      <c r="R8" s="1">
        <v>2</v>
      </c>
      <c r="S8" s="1" t="s">
        <v>31</v>
      </c>
      <c r="T8" s="6">
        <v>1</v>
      </c>
      <c r="U8" s="1">
        <v>10</v>
      </c>
      <c r="V8" s="1">
        <v>9</v>
      </c>
      <c r="W8" s="9">
        <v>0.185</v>
      </c>
    </row>
    <row r="9" spans="1:23" s="1" customFormat="1" x14ac:dyDescent="0.2">
      <c r="A9" s="5" t="s">
        <v>78</v>
      </c>
      <c r="B9" s="1">
        <v>1899</v>
      </c>
      <c r="C9" s="1" t="s">
        <v>22</v>
      </c>
      <c r="D9" s="1">
        <v>5</v>
      </c>
      <c r="E9" s="5">
        <v>29.34</v>
      </c>
      <c r="F9" s="6">
        <v>29.27</v>
      </c>
      <c r="G9" s="1">
        <v>42</v>
      </c>
      <c r="H9" s="1">
        <v>43.2</v>
      </c>
      <c r="I9" s="1">
        <v>39.799999999999997</v>
      </c>
      <c r="J9" s="6">
        <v>45.2</v>
      </c>
      <c r="K9" s="1">
        <v>2.1</v>
      </c>
      <c r="L9" s="6">
        <v>0.5</v>
      </c>
      <c r="M9" s="5">
        <v>0.223</v>
      </c>
      <c r="N9" s="6">
        <v>0.26800000000000002</v>
      </c>
      <c r="O9" s="1">
        <v>84</v>
      </c>
      <c r="P9" s="6">
        <v>96</v>
      </c>
      <c r="Q9" s="1" t="s">
        <v>38</v>
      </c>
      <c r="R9" s="1">
        <v>1</v>
      </c>
      <c r="S9" s="1" t="s">
        <v>31</v>
      </c>
      <c r="T9" s="6">
        <v>2</v>
      </c>
      <c r="U9" s="1">
        <v>10</v>
      </c>
      <c r="V9" s="1">
        <v>10</v>
      </c>
      <c r="W9" s="9">
        <v>4.8000000000000001E-2</v>
      </c>
    </row>
    <row r="10" spans="1:23" s="1" customFormat="1" x14ac:dyDescent="0.2">
      <c r="A10" s="5" t="s">
        <v>78</v>
      </c>
      <c r="B10" s="1">
        <v>1899</v>
      </c>
      <c r="C10" s="1" t="s">
        <v>22</v>
      </c>
      <c r="D10" s="1">
        <v>6</v>
      </c>
      <c r="E10" s="5">
        <v>29.41</v>
      </c>
      <c r="F10" s="6">
        <v>29.14</v>
      </c>
      <c r="G10" s="1">
        <v>44.7</v>
      </c>
      <c r="H10" s="1">
        <v>44.6</v>
      </c>
      <c r="I10" s="1">
        <v>40.700000000000003</v>
      </c>
      <c r="J10" s="6">
        <v>50.9</v>
      </c>
      <c r="K10" s="1">
        <v>0.8</v>
      </c>
      <c r="L10" s="6">
        <v>1.6</v>
      </c>
      <c r="M10" s="5">
        <v>0.27800000000000002</v>
      </c>
      <c r="N10" s="6">
        <v>0.25800000000000001</v>
      </c>
      <c r="O10" s="1">
        <v>94</v>
      </c>
      <c r="P10" s="6">
        <v>88</v>
      </c>
      <c r="Q10" s="1" t="s">
        <v>31</v>
      </c>
      <c r="R10" s="1">
        <v>1</v>
      </c>
      <c r="S10" s="1" t="s">
        <v>31</v>
      </c>
      <c r="T10" s="6">
        <v>3</v>
      </c>
      <c r="U10" s="1">
        <v>8</v>
      </c>
      <c r="V10" s="1">
        <v>10</v>
      </c>
      <c r="W10" s="9">
        <v>8.5000000000000006E-2</v>
      </c>
    </row>
    <row r="11" spans="1:23" s="1" customFormat="1" x14ac:dyDescent="0.2">
      <c r="A11" s="5" t="s">
        <v>78</v>
      </c>
      <c r="B11" s="1">
        <v>1899</v>
      </c>
      <c r="C11" s="1" t="s">
        <v>22</v>
      </c>
      <c r="D11" s="1">
        <v>7</v>
      </c>
      <c r="E11" s="5">
        <v>28.93</v>
      </c>
      <c r="F11" s="6">
        <v>28.92</v>
      </c>
      <c r="G11" s="1">
        <v>44.5</v>
      </c>
      <c r="H11" s="1">
        <v>46.7</v>
      </c>
      <c r="I11" s="1">
        <v>42.8</v>
      </c>
      <c r="J11" s="6">
        <v>52.6</v>
      </c>
      <c r="K11" s="1">
        <v>1.6</v>
      </c>
      <c r="L11" s="6">
        <v>0.3</v>
      </c>
      <c r="M11" s="5">
        <v>0.25700000000000001</v>
      </c>
      <c r="N11" s="6">
        <v>0.312</v>
      </c>
      <c r="O11" s="1">
        <v>88</v>
      </c>
      <c r="P11" s="6">
        <v>98</v>
      </c>
      <c r="Q11" s="1" t="s">
        <v>38</v>
      </c>
      <c r="R11" s="1">
        <v>1</v>
      </c>
      <c r="S11" s="1" t="s">
        <v>31</v>
      </c>
      <c r="T11" s="6">
        <v>1</v>
      </c>
      <c r="U11" s="1">
        <v>10</v>
      </c>
      <c r="V11" s="1">
        <v>10</v>
      </c>
      <c r="W11" s="9">
        <v>0.129</v>
      </c>
    </row>
    <row r="12" spans="1:23" s="1" customFormat="1" x14ac:dyDescent="0.2">
      <c r="A12" s="5" t="s">
        <v>78</v>
      </c>
      <c r="B12" s="1">
        <v>1899</v>
      </c>
      <c r="C12" s="1" t="s">
        <v>22</v>
      </c>
      <c r="D12" s="1">
        <v>8</v>
      </c>
      <c r="E12" s="5">
        <v>28.83</v>
      </c>
      <c r="F12" s="6">
        <v>28.72</v>
      </c>
      <c r="G12" s="1">
        <v>46.6</v>
      </c>
      <c r="H12" s="1">
        <v>44.7</v>
      </c>
      <c r="I12" s="1">
        <v>41.8</v>
      </c>
      <c r="J12" s="6">
        <v>50.7</v>
      </c>
      <c r="K12" s="1">
        <v>1.2</v>
      </c>
      <c r="L12" s="6">
        <v>0.9</v>
      </c>
      <c r="M12" s="5">
        <v>0.28999999999999998</v>
      </c>
      <c r="N12" s="6">
        <v>0.27500000000000002</v>
      </c>
      <c r="O12" s="1">
        <v>92</v>
      </c>
      <c r="P12" s="6">
        <v>93</v>
      </c>
      <c r="Q12" s="1" t="s">
        <v>31</v>
      </c>
      <c r="R12" s="1">
        <v>1</v>
      </c>
      <c r="S12" s="1" t="s">
        <v>31</v>
      </c>
      <c r="T12" s="6">
        <v>1</v>
      </c>
      <c r="U12" s="1">
        <v>9</v>
      </c>
      <c r="V12" s="1">
        <v>10</v>
      </c>
      <c r="W12" s="9">
        <v>0.42699999999999999</v>
      </c>
    </row>
    <row r="13" spans="1:23" s="1" customFormat="1" x14ac:dyDescent="0.2">
      <c r="A13" s="5" t="s">
        <v>78</v>
      </c>
      <c r="B13" s="1">
        <v>1899</v>
      </c>
      <c r="C13" s="1" t="s">
        <v>22</v>
      </c>
      <c r="D13" s="1">
        <v>9</v>
      </c>
      <c r="E13" s="5">
        <v>28.91</v>
      </c>
      <c r="F13" s="6">
        <v>28.83</v>
      </c>
      <c r="G13" s="1">
        <v>48.2</v>
      </c>
      <c r="H13" s="1">
        <v>45.9</v>
      </c>
      <c r="I13" s="1">
        <v>43.9</v>
      </c>
      <c r="J13" s="6">
        <v>54.7</v>
      </c>
      <c r="K13" s="1">
        <v>1.2</v>
      </c>
      <c r="L13" s="6">
        <v>2</v>
      </c>
      <c r="M13" s="5">
        <v>0.307</v>
      </c>
      <c r="N13" s="6">
        <v>0.26500000000000001</v>
      </c>
      <c r="O13" s="1">
        <v>92</v>
      </c>
      <c r="P13" s="6">
        <v>86</v>
      </c>
      <c r="Q13" s="1" t="s">
        <v>38</v>
      </c>
      <c r="R13" s="1">
        <v>1</v>
      </c>
      <c r="S13" s="1" t="s">
        <v>44</v>
      </c>
      <c r="T13" s="6">
        <v>2</v>
      </c>
      <c r="U13" s="1">
        <v>10</v>
      </c>
      <c r="V13" s="1">
        <v>10</v>
      </c>
      <c r="W13" s="9">
        <v>0.248</v>
      </c>
    </row>
    <row r="14" spans="1:23" s="1" customFormat="1" x14ac:dyDescent="0.2">
      <c r="A14" s="5" t="s">
        <v>78</v>
      </c>
      <c r="B14" s="1">
        <v>1899</v>
      </c>
      <c r="C14" s="1" t="s">
        <v>22</v>
      </c>
      <c r="D14" s="1">
        <v>10</v>
      </c>
      <c r="E14" s="5">
        <v>28.81</v>
      </c>
      <c r="F14" s="6">
        <v>28.99</v>
      </c>
      <c r="G14" s="1">
        <v>49.7</v>
      </c>
      <c r="H14" s="1">
        <v>47.7</v>
      </c>
      <c r="I14" s="1">
        <v>42.8</v>
      </c>
      <c r="J14" s="6">
        <v>53.2</v>
      </c>
      <c r="K14" s="1">
        <v>1</v>
      </c>
      <c r="L14" s="6">
        <v>1.3</v>
      </c>
      <c r="M14" s="5">
        <v>0.33100000000000002</v>
      </c>
      <c r="N14" s="6">
        <v>0.29899999999999999</v>
      </c>
      <c r="O14" s="1">
        <v>93</v>
      </c>
      <c r="P14" s="6">
        <v>91</v>
      </c>
      <c r="Q14" s="1" t="s">
        <v>38</v>
      </c>
      <c r="R14" s="1">
        <v>1</v>
      </c>
      <c r="S14" s="1" t="s">
        <v>31</v>
      </c>
      <c r="T14" s="6">
        <v>2</v>
      </c>
      <c r="U14" s="1">
        <v>3</v>
      </c>
      <c r="V14" s="1">
        <v>10</v>
      </c>
      <c r="W14" s="9">
        <v>5.8999999999999997E-2</v>
      </c>
    </row>
    <row r="15" spans="1:23" s="1" customFormat="1" x14ac:dyDescent="0.2">
      <c r="A15" s="5" t="s">
        <v>78</v>
      </c>
      <c r="B15" s="1">
        <v>1899</v>
      </c>
      <c r="C15" s="1" t="s">
        <v>22</v>
      </c>
      <c r="D15" s="1">
        <v>11</v>
      </c>
      <c r="E15" s="5">
        <v>28.93</v>
      </c>
      <c r="F15" s="6">
        <v>28.78</v>
      </c>
      <c r="G15" s="1">
        <v>48.7</v>
      </c>
      <c r="H15" s="1">
        <v>44.6</v>
      </c>
      <c r="I15" s="1">
        <v>42</v>
      </c>
      <c r="J15" s="6">
        <v>51.5</v>
      </c>
      <c r="K15" s="1">
        <v>1.3</v>
      </c>
      <c r="L15" s="6">
        <v>1.7</v>
      </c>
      <c r="M15" s="5">
        <v>0.311</v>
      </c>
      <c r="N15" s="6">
        <v>0.25600000000000001</v>
      </c>
      <c r="O15" s="1">
        <v>91</v>
      </c>
      <c r="P15" s="6">
        <v>87</v>
      </c>
      <c r="Q15" s="1" t="s">
        <v>31</v>
      </c>
      <c r="R15" s="1">
        <v>1</v>
      </c>
      <c r="S15" s="1" t="s">
        <v>38</v>
      </c>
      <c r="T15" s="6">
        <v>1</v>
      </c>
      <c r="U15" s="1">
        <v>8</v>
      </c>
      <c r="V15" s="1">
        <v>4</v>
      </c>
      <c r="W15" s="9">
        <v>0.13</v>
      </c>
    </row>
    <row r="16" spans="1:23" s="1" customFormat="1" x14ac:dyDescent="0.2">
      <c r="A16" s="5" t="s">
        <v>78</v>
      </c>
      <c r="B16" s="1">
        <v>1899</v>
      </c>
      <c r="C16" s="1" t="s">
        <v>22</v>
      </c>
      <c r="D16" s="1">
        <v>12</v>
      </c>
      <c r="E16" s="5">
        <v>28.82</v>
      </c>
      <c r="F16" s="6">
        <v>28.89</v>
      </c>
      <c r="G16" s="1">
        <v>38.700000000000003</v>
      </c>
      <c r="H16" s="1">
        <v>43.2</v>
      </c>
      <c r="I16" s="1">
        <v>35.799999999999997</v>
      </c>
      <c r="J16" s="6">
        <v>46.8</v>
      </c>
      <c r="K16" s="1">
        <v>0.8</v>
      </c>
      <c r="L16" s="6">
        <v>1.2</v>
      </c>
      <c r="M16" s="5">
        <v>0.22</v>
      </c>
      <c r="N16" s="6">
        <v>0.253</v>
      </c>
      <c r="O16" s="1">
        <v>94</v>
      </c>
      <c r="P16" s="6">
        <v>90</v>
      </c>
      <c r="Q16" s="1" t="s">
        <v>35</v>
      </c>
      <c r="R16" s="1">
        <v>1</v>
      </c>
      <c r="S16" s="1" t="s">
        <v>31</v>
      </c>
      <c r="T16" s="6">
        <v>1</v>
      </c>
      <c r="U16" s="1">
        <v>10</v>
      </c>
      <c r="V16" s="1">
        <v>10</v>
      </c>
      <c r="W16" s="9">
        <v>0.35</v>
      </c>
    </row>
    <row r="17" spans="1:24" s="1" customFormat="1" x14ac:dyDescent="0.2">
      <c r="A17" s="5" t="s">
        <v>78</v>
      </c>
      <c r="B17" s="1">
        <v>1899</v>
      </c>
      <c r="C17" s="1" t="s">
        <v>22</v>
      </c>
      <c r="D17" s="1">
        <v>13</v>
      </c>
      <c r="E17" s="5">
        <v>28.53</v>
      </c>
      <c r="F17" s="6">
        <v>28.67</v>
      </c>
      <c r="G17" s="1">
        <v>45.2</v>
      </c>
      <c r="H17" s="1">
        <v>39.700000000000003</v>
      </c>
      <c r="I17" s="1">
        <v>38.9</v>
      </c>
      <c r="J17" s="6">
        <v>47.7</v>
      </c>
      <c r="K17" s="1">
        <v>0.5</v>
      </c>
      <c r="L17" s="6">
        <v>1.8</v>
      </c>
      <c r="M17" s="5">
        <v>0.28999999999999998</v>
      </c>
      <c r="N17" s="6">
        <v>0.20899999999999999</v>
      </c>
      <c r="O17" s="1">
        <v>97</v>
      </c>
      <c r="P17" s="6">
        <v>85</v>
      </c>
      <c r="Q17" s="1" t="s">
        <v>39</v>
      </c>
      <c r="R17" s="1">
        <v>1</v>
      </c>
      <c r="S17" s="1" t="s">
        <v>31</v>
      </c>
      <c r="T17" s="6">
        <v>1</v>
      </c>
      <c r="U17" s="1">
        <v>10</v>
      </c>
      <c r="V17" s="1">
        <v>4</v>
      </c>
      <c r="W17" s="9">
        <v>6.8000000000000005E-2</v>
      </c>
    </row>
    <row r="18" spans="1:24" s="1" customFormat="1" x14ac:dyDescent="0.2">
      <c r="A18" s="5" t="s">
        <v>78</v>
      </c>
      <c r="B18" s="1">
        <v>1899</v>
      </c>
      <c r="C18" s="1" t="s">
        <v>22</v>
      </c>
      <c r="D18" s="1">
        <v>14</v>
      </c>
      <c r="E18" s="5">
        <v>29.08</v>
      </c>
      <c r="F18" s="6">
        <v>29.26</v>
      </c>
      <c r="G18" s="1">
        <v>40.700000000000003</v>
      </c>
      <c r="H18" s="1">
        <v>39.700000000000003</v>
      </c>
      <c r="I18" s="1">
        <v>36.9</v>
      </c>
      <c r="J18" s="6">
        <v>48.7</v>
      </c>
      <c r="K18" s="1">
        <v>1.8</v>
      </c>
      <c r="L18" s="6">
        <v>1.6</v>
      </c>
      <c r="M18" s="5">
        <v>0.217</v>
      </c>
      <c r="N18" s="6">
        <v>0.21299999999999999</v>
      </c>
      <c r="O18" s="1">
        <v>86</v>
      </c>
      <c r="P18" s="6">
        <v>87</v>
      </c>
      <c r="Q18" s="1" t="s">
        <v>39</v>
      </c>
      <c r="R18" s="1">
        <v>1</v>
      </c>
      <c r="S18" s="1" t="s">
        <v>31</v>
      </c>
      <c r="T18" s="6">
        <v>1</v>
      </c>
      <c r="U18" s="1">
        <v>3</v>
      </c>
      <c r="V18" s="1">
        <v>2</v>
      </c>
      <c r="W18" s="9" t="s">
        <v>25</v>
      </c>
    </row>
    <row r="19" spans="1:24" s="1" customFormat="1" x14ac:dyDescent="0.2">
      <c r="A19" s="5" t="s">
        <v>78</v>
      </c>
      <c r="B19" s="1">
        <v>1899</v>
      </c>
      <c r="C19" s="1" t="s">
        <v>22</v>
      </c>
      <c r="D19" s="1">
        <v>15</v>
      </c>
      <c r="E19" s="5">
        <v>29.51</v>
      </c>
      <c r="F19" s="6">
        <v>29.48</v>
      </c>
      <c r="G19" s="1">
        <v>38.200000000000003</v>
      </c>
      <c r="H19" s="1">
        <v>34.700000000000003</v>
      </c>
      <c r="I19" s="1">
        <v>33.9</v>
      </c>
      <c r="J19" s="6">
        <v>48.6</v>
      </c>
      <c r="K19" s="1">
        <v>1.2</v>
      </c>
      <c r="L19" s="6">
        <v>0.8</v>
      </c>
      <c r="M19" s="5">
        <v>0.20599999999999999</v>
      </c>
      <c r="N19" s="6">
        <v>0.186</v>
      </c>
      <c r="O19" s="1">
        <v>90</v>
      </c>
      <c r="P19" s="6">
        <v>93</v>
      </c>
      <c r="Q19" s="1" t="s">
        <v>32</v>
      </c>
      <c r="R19" s="1">
        <v>1</v>
      </c>
      <c r="S19" s="1" t="s">
        <v>36</v>
      </c>
      <c r="T19" s="6">
        <v>0</v>
      </c>
      <c r="U19" s="1">
        <v>1</v>
      </c>
      <c r="V19" s="1">
        <v>8</v>
      </c>
      <c r="W19" s="9">
        <v>3.5000000000000003E-2</v>
      </c>
    </row>
    <row r="20" spans="1:24" s="1" customFormat="1" x14ac:dyDescent="0.2">
      <c r="A20" s="5" t="s">
        <v>78</v>
      </c>
      <c r="B20" s="1">
        <v>1899</v>
      </c>
      <c r="C20" s="1" t="s">
        <v>22</v>
      </c>
      <c r="D20" s="1">
        <v>16</v>
      </c>
      <c r="E20" s="5">
        <v>29.45</v>
      </c>
      <c r="F20" s="6">
        <v>29.52</v>
      </c>
      <c r="G20" s="1">
        <v>46.2</v>
      </c>
      <c r="H20" s="1">
        <v>47.7</v>
      </c>
      <c r="I20" s="1">
        <v>32.9</v>
      </c>
      <c r="J20" s="6">
        <v>50.5</v>
      </c>
      <c r="K20" s="1">
        <v>2.2000000000000002</v>
      </c>
      <c r="L20" s="6">
        <v>1.8</v>
      </c>
      <c r="M20" s="5">
        <v>0.26300000000000001</v>
      </c>
      <c r="N20" s="6">
        <v>0.28799999999999998</v>
      </c>
      <c r="O20" s="1">
        <v>85</v>
      </c>
      <c r="P20" s="6">
        <v>87</v>
      </c>
      <c r="Q20" s="1" t="s">
        <v>31</v>
      </c>
      <c r="R20" s="1">
        <v>1</v>
      </c>
      <c r="S20" s="1" t="s">
        <v>31</v>
      </c>
      <c r="T20" s="6">
        <v>1</v>
      </c>
      <c r="U20" s="1">
        <v>10</v>
      </c>
      <c r="V20" s="1">
        <v>10</v>
      </c>
      <c r="W20" s="9">
        <v>8.8999999999999996E-2</v>
      </c>
    </row>
    <row r="21" spans="1:24" s="1" customFormat="1" x14ac:dyDescent="0.2">
      <c r="A21" s="5" t="s">
        <v>78</v>
      </c>
      <c r="B21" s="1">
        <v>1899</v>
      </c>
      <c r="C21" s="1" t="s">
        <v>22</v>
      </c>
      <c r="D21" s="1">
        <v>17</v>
      </c>
      <c r="E21" s="5">
        <v>29.58</v>
      </c>
      <c r="F21" s="6">
        <v>29.73</v>
      </c>
      <c r="G21" s="1">
        <v>47.7</v>
      </c>
      <c r="H21" s="1">
        <v>44.9</v>
      </c>
      <c r="I21" s="1">
        <v>44.7</v>
      </c>
      <c r="J21" s="6">
        <v>49.5</v>
      </c>
      <c r="K21" s="1">
        <v>0.9</v>
      </c>
      <c r="L21" s="6">
        <v>0</v>
      </c>
      <c r="M21" s="5">
        <v>0.309</v>
      </c>
      <c r="N21" s="6">
        <v>0.29799999999999999</v>
      </c>
      <c r="O21" s="1">
        <v>94</v>
      </c>
      <c r="P21" s="6">
        <v>100</v>
      </c>
      <c r="Q21" s="1" t="s">
        <v>31</v>
      </c>
      <c r="R21" s="1">
        <v>1</v>
      </c>
      <c r="S21" s="1" t="s">
        <v>44</v>
      </c>
      <c r="T21" s="6">
        <v>1</v>
      </c>
      <c r="U21" s="1">
        <v>10</v>
      </c>
      <c r="V21" s="1">
        <v>10</v>
      </c>
      <c r="W21" s="9">
        <v>0.38</v>
      </c>
    </row>
    <row r="22" spans="1:24" s="1" customFormat="1" x14ac:dyDescent="0.2">
      <c r="A22" s="5" t="s">
        <v>78</v>
      </c>
      <c r="B22" s="1">
        <v>1899</v>
      </c>
      <c r="C22" s="1" t="s">
        <v>22</v>
      </c>
      <c r="D22" s="1">
        <v>18</v>
      </c>
      <c r="E22" s="5">
        <v>29.8</v>
      </c>
      <c r="F22" s="6">
        <v>29.89</v>
      </c>
      <c r="G22" s="1">
        <v>43.2</v>
      </c>
      <c r="H22" s="1">
        <v>43.2</v>
      </c>
      <c r="I22" s="1">
        <v>41.8</v>
      </c>
      <c r="J22" s="6">
        <v>46.6</v>
      </c>
      <c r="K22" s="1">
        <v>0.5</v>
      </c>
      <c r="L22" s="6">
        <v>0.8</v>
      </c>
      <c r="M22" s="5">
        <v>0.26800000000000002</v>
      </c>
      <c r="N22" s="6">
        <v>0.26200000000000001</v>
      </c>
      <c r="O22" s="1">
        <v>96</v>
      </c>
      <c r="P22" s="6">
        <v>93</v>
      </c>
      <c r="Q22" s="1" t="s">
        <v>27</v>
      </c>
      <c r="R22" s="1">
        <v>1</v>
      </c>
      <c r="S22" s="1" t="s">
        <v>24</v>
      </c>
      <c r="T22" s="6">
        <v>1</v>
      </c>
      <c r="U22" s="1">
        <v>10</v>
      </c>
      <c r="V22" s="1">
        <v>10</v>
      </c>
      <c r="W22" s="9">
        <v>0.01</v>
      </c>
    </row>
    <row r="23" spans="1:24" s="1" customFormat="1" x14ac:dyDescent="0.2">
      <c r="A23" s="5" t="s">
        <v>78</v>
      </c>
      <c r="B23" s="1">
        <v>1899</v>
      </c>
      <c r="C23" s="1" t="s">
        <v>22</v>
      </c>
      <c r="D23" s="1">
        <v>19</v>
      </c>
      <c r="E23" s="5">
        <v>30.01</v>
      </c>
      <c r="F23" s="6">
        <v>30.06</v>
      </c>
      <c r="G23" s="1">
        <v>33.200000000000003</v>
      </c>
      <c r="H23" s="1">
        <v>36.6</v>
      </c>
      <c r="I23" s="1">
        <v>31</v>
      </c>
      <c r="J23" s="6">
        <v>47.8</v>
      </c>
      <c r="K23" s="1">
        <v>0.3</v>
      </c>
      <c r="L23" s="6">
        <v>0.6</v>
      </c>
      <c r="M23" s="5">
        <v>0.184</v>
      </c>
      <c r="N23" s="6">
        <v>0.20499999999999999</v>
      </c>
      <c r="O23" s="1">
        <v>97</v>
      </c>
      <c r="P23" s="6">
        <v>95</v>
      </c>
      <c r="Q23" s="1" t="s">
        <v>24</v>
      </c>
      <c r="R23" s="1">
        <v>1</v>
      </c>
      <c r="S23" s="1" t="s">
        <v>36</v>
      </c>
      <c r="T23" s="6">
        <v>0</v>
      </c>
      <c r="U23" s="1">
        <v>10</v>
      </c>
      <c r="V23" s="1">
        <v>3</v>
      </c>
      <c r="W23" s="9" t="s">
        <v>25</v>
      </c>
    </row>
    <row r="24" spans="1:24" s="1" customFormat="1" x14ac:dyDescent="0.2">
      <c r="A24" s="5" t="s">
        <v>78</v>
      </c>
      <c r="B24" s="1">
        <v>1899</v>
      </c>
      <c r="C24" s="1" t="s">
        <v>22</v>
      </c>
      <c r="D24" s="1">
        <v>20</v>
      </c>
      <c r="E24" s="5">
        <v>30.01</v>
      </c>
      <c r="F24" s="6">
        <v>29.81</v>
      </c>
      <c r="G24" s="1">
        <v>39.700000000000003</v>
      </c>
      <c r="H24" s="1">
        <v>46.2</v>
      </c>
      <c r="I24" s="1">
        <v>29.7</v>
      </c>
      <c r="J24" s="6">
        <v>46.2</v>
      </c>
      <c r="K24" s="1">
        <v>0.7</v>
      </c>
      <c r="L24" s="6">
        <v>0.5</v>
      </c>
      <c r="M24" s="5">
        <v>0.23</v>
      </c>
      <c r="N24" s="6">
        <v>0.30199999999999999</v>
      </c>
      <c r="O24" s="1">
        <v>94</v>
      </c>
      <c r="P24" s="6">
        <v>97</v>
      </c>
      <c r="Q24" s="1" t="s">
        <v>43</v>
      </c>
      <c r="R24" s="1">
        <v>1</v>
      </c>
      <c r="S24" s="1" t="s">
        <v>31</v>
      </c>
      <c r="T24" s="6">
        <v>1</v>
      </c>
      <c r="U24" s="1">
        <v>10</v>
      </c>
      <c r="V24" s="1">
        <v>10</v>
      </c>
      <c r="W24" s="9">
        <v>0.04</v>
      </c>
    </row>
    <row r="25" spans="1:24" s="1" customFormat="1" x14ac:dyDescent="0.2">
      <c r="A25" s="5" t="s">
        <v>78</v>
      </c>
      <c r="B25" s="1">
        <v>1899</v>
      </c>
      <c r="C25" s="1" t="s">
        <v>22</v>
      </c>
      <c r="D25" s="1">
        <v>21</v>
      </c>
      <c r="E25" s="5">
        <v>29.96</v>
      </c>
      <c r="F25" s="6">
        <v>29.97</v>
      </c>
      <c r="G25" s="1">
        <v>46.5</v>
      </c>
      <c r="H25" s="1">
        <v>43.2</v>
      </c>
      <c r="I25" s="1">
        <v>41.9</v>
      </c>
      <c r="J25" s="6">
        <v>47.5</v>
      </c>
      <c r="K25" s="1">
        <v>1.1000000000000001</v>
      </c>
      <c r="L25" s="6">
        <v>1.8</v>
      </c>
      <c r="M25" s="5">
        <v>0.29099999999999998</v>
      </c>
      <c r="N25" s="6">
        <v>0.24</v>
      </c>
      <c r="O25" s="1">
        <v>92</v>
      </c>
      <c r="P25" s="6">
        <v>86</v>
      </c>
      <c r="Q25" s="1" t="s">
        <v>31</v>
      </c>
      <c r="R25" s="1">
        <v>1</v>
      </c>
      <c r="S25" s="1" t="s">
        <v>31</v>
      </c>
      <c r="T25" s="6">
        <v>1</v>
      </c>
      <c r="U25" s="1">
        <v>10</v>
      </c>
      <c r="V25" s="1">
        <v>0</v>
      </c>
      <c r="W25" s="9" t="s">
        <v>25</v>
      </c>
    </row>
    <row r="26" spans="1:24" s="1" customFormat="1" x14ac:dyDescent="0.2">
      <c r="A26" s="5" t="s">
        <v>78</v>
      </c>
      <c r="B26" s="1">
        <v>1899</v>
      </c>
      <c r="C26" s="1" t="s">
        <v>22</v>
      </c>
      <c r="D26" s="1">
        <v>22</v>
      </c>
      <c r="E26" s="5">
        <v>30</v>
      </c>
      <c r="F26" s="6">
        <v>30</v>
      </c>
      <c r="G26" s="1">
        <v>42.6</v>
      </c>
      <c r="H26" s="1">
        <v>39.5</v>
      </c>
      <c r="I26" s="1">
        <v>38.700000000000003</v>
      </c>
      <c r="J26" s="6">
        <v>46.7</v>
      </c>
      <c r="K26" s="1">
        <v>0.7</v>
      </c>
      <c r="L26" s="6">
        <v>1.1000000000000001</v>
      </c>
      <c r="M26" s="5">
        <v>0.25800000000000001</v>
      </c>
      <c r="N26" s="6">
        <v>0.22</v>
      </c>
      <c r="O26" s="1">
        <v>94</v>
      </c>
      <c r="P26" s="6">
        <v>91</v>
      </c>
      <c r="Q26" s="1" t="s">
        <v>31</v>
      </c>
      <c r="R26" s="1">
        <v>1</v>
      </c>
      <c r="S26" s="1" t="s">
        <v>31</v>
      </c>
      <c r="T26" s="6">
        <v>1</v>
      </c>
      <c r="U26" s="1">
        <v>10</v>
      </c>
      <c r="V26" s="1">
        <v>0</v>
      </c>
      <c r="W26" s="9" t="s">
        <v>25</v>
      </c>
    </row>
    <row r="27" spans="1:24" s="1" customFormat="1" x14ac:dyDescent="0.2">
      <c r="A27" s="5" t="s">
        <v>78</v>
      </c>
      <c r="B27" s="1">
        <v>1899</v>
      </c>
      <c r="C27" s="1" t="s">
        <v>22</v>
      </c>
      <c r="D27" s="1">
        <v>23</v>
      </c>
      <c r="E27" s="5">
        <v>29.95</v>
      </c>
      <c r="F27" s="6">
        <v>29.95</v>
      </c>
      <c r="G27" s="1">
        <v>36.5</v>
      </c>
      <c r="H27" s="1">
        <v>44.6</v>
      </c>
      <c r="I27" s="1">
        <v>29.6</v>
      </c>
      <c r="J27" s="6">
        <v>49.2</v>
      </c>
      <c r="K27" s="1">
        <v>0.6</v>
      </c>
      <c r="L27" s="6">
        <v>1.6</v>
      </c>
      <c r="M27" s="5">
        <v>0.20399999999999999</v>
      </c>
      <c r="N27" s="6">
        <v>0.25900000000000001</v>
      </c>
      <c r="O27" s="1">
        <v>95</v>
      </c>
      <c r="P27" s="6">
        <v>88</v>
      </c>
      <c r="Q27" s="1" t="s">
        <v>36</v>
      </c>
      <c r="R27" s="1">
        <v>0</v>
      </c>
      <c r="S27" s="1" t="s">
        <v>31</v>
      </c>
      <c r="T27" s="6">
        <v>1</v>
      </c>
      <c r="U27" s="1">
        <v>4</v>
      </c>
      <c r="V27" s="1">
        <v>10</v>
      </c>
      <c r="W27" s="9" t="s">
        <v>25</v>
      </c>
    </row>
    <row r="28" spans="1:24" s="1" customFormat="1" x14ac:dyDescent="0.2">
      <c r="A28" s="5" t="s">
        <v>78</v>
      </c>
      <c r="B28" s="1">
        <v>1899</v>
      </c>
      <c r="C28" s="1" t="s">
        <v>22</v>
      </c>
      <c r="D28" s="1">
        <v>24</v>
      </c>
      <c r="E28" s="5">
        <v>30</v>
      </c>
      <c r="F28" s="6">
        <v>29.98</v>
      </c>
      <c r="G28" s="1">
        <v>45.5</v>
      </c>
      <c r="H28" s="1">
        <v>44.9</v>
      </c>
      <c r="I28" s="1">
        <v>40.799999999999997</v>
      </c>
      <c r="J28" s="6">
        <v>52.9</v>
      </c>
      <c r="K28" s="1">
        <v>0.7</v>
      </c>
      <c r="L28" s="6">
        <v>1</v>
      </c>
      <c r="M28" s="5">
        <v>0.28899999999999998</v>
      </c>
      <c r="N28" s="6">
        <v>0.27500000000000002</v>
      </c>
      <c r="O28" s="1">
        <v>95</v>
      </c>
      <c r="P28" s="6">
        <v>93</v>
      </c>
      <c r="Q28" s="1" t="s">
        <v>31</v>
      </c>
      <c r="R28" s="1">
        <v>1</v>
      </c>
      <c r="S28" s="1" t="s">
        <v>31</v>
      </c>
      <c r="T28" s="6">
        <v>1</v>
      </c>
      <c r="U28" s="1">
        <v>9</v>
      </c>
      <c r="V28" s="1">
        <v>10</v>
      </c>
      <c r="W28" s="9" t="s">
        <v>25</v>
      </c>
    </row>
    <row r="29" spans="1:24" s="1" customFormat="1" x14ac:dyDescent="0.2">
      <c r="A29" s="5" t="s">
        <v>78</v>
      </c>
      <c r="B29" s="1">
        <v>1899</v>
      </c>
      <c r="C29" s="1" t="s">
        <v>22</v>
      </c>
      <c r="D29" s="1">
        <v>25</v>
      </c>
      <c r="E29" s="5">
        <v>29.98</v>
      </c>
      <c r="F29" s="6">
        <v>30.04</v>
      </c>
      <c r="G29" s="1">
        <v>46.2</v>
      </c>
      <c r="H29" s="1">
        <v>42.5</v>
      </c>
      <c r="I29" s="1">
        <v>41.3</v>
      </c>
      <c r="J29" s="6">
        <v>49.9</v>
      </c>
      <c r="K29" s="1">
        <v>1.4</v>
      </c>
      <c r="L29" s="6">
        <v>0.8</v>
      </c>
      <c r="M29" s="5">
        <v>0.28100000000000003</v>
      </c>
      <c r="N29" s="6">
        <v>0.254</v>
      </c>
      <c r="O29" s="1">
        <v>91</v>
      </c>
      <c r="P29" s="6">
        <v>94</v>
      </c>
      <c r="Q29" s="1" t="s">
        <v>32</v>
      </c>
      <c r="R29" s="1">
        <v>1</v>
      </c>
      <c r="S29" s="1" t="s">
        <v>31</v>
      </c>
      <c r="T29" s="6">
        <v>1</v>
      </c>
      <c r="U29" s="1">
        <v>10</v>
      </c>
      <c r="V29" s="1">
        <v>5</v>
      </c>
      <c r="W29" s="9" t="s">
        <v>25</v>
      </c>
    </row>
    <row r="30" spans="1:24" s="1" customFormat="1" x14ac:dyDescent="0.2">
      <c r="A30" s="5" t="s">
        <v>78</v>
      </c>
      <c r="B30" s="1">
        <v>1899</v>
      </c>
      <c r="C30" s="1" t="s">
        <v>22</v>
      </c>
      <c r="D30" s="1">
        <v>26</v>
      </c>
      <c r="E30" s="5">
        <v>30.07</v>
      </c>
      <c r="F30" s="6">
        <v>30.14</v>
      </c>
      <c r="G30" s="1">
        <v>41.7</v>
      </c>
      <c r="H30" s="1">
        <v>35.799999999999997</v>
      </c>
      <c r="I30" s="1">
        <v>35.299999999999997</v>
      </c>
      <c r="J30" s="6">
        <v>49.7</v>
      </c>
      <c r="K30" s="1">
        <v>1.9</v>
      </c>
      <c r="L30" s="6">
        <v>0.8</v>
      </c>
      <c r="M30" s="5">
        <v>0.22500000000000001</v>
      </c>
      <c r="N30" s="6">
        <v>0.19700000000000001</v>
      </c>
      <c r="O30" s="1">
        <v>86</v>
      </c>
      <c r="P30" s="6">
        <v>93</v>
      </c>
      <c r="Q30" s="1" t="s">
        <v>31</v>
      </c>
      <c r="R30" s="1">
        <v>1</v>
      </c>
      <c r="S30" s="1" t="s">
        <v>31</v>
      </c>
      <c r="T30" s="6">
        <v>1</v>
      </c>
      <c r="U30" s="1">
        <v>3</v>
      </c>
      <c r="V30" s="1">
        <v>0</v>
      </c>
      <c r="W30" s="9" t="s">
        <v>25</v>
      </c>
    </row>
    <row r="31" spans="1:24" s="1" customFormat="1" x14ac:dyDescent="0.2">
      <c r="A31" s="5" t="s">
        <v>78</v>
      </c>
      <c r="B31" s="1">
        <v>1899</v>
      </c>
      <c r="C31" s="1" t="s">
        <v>22</v>
      </c>
      <c r="D31" s="1">
        <v>27</v>
      </c>
      <c r="E31" s="5">
        <v>30.21</v>
      </c>
      <c r="F31" s="6">
        <v>30.31</v>
      </c>
      <c r="G31" s="1">
        <v>36.700000000000003</v>
      </c>
      <c r="H31" s="1">
        <v>36.700000000000003</v>
      </c>
      <c r="I31" s="1">
        <v>29.9</v>
      </c>
      <c r="J31" s="6">
        <v>50.6</v>
      </c>
      <c r="K31" s="1">
        <v>0.8</v>
      </c>
      <c r="L31" s="6">
        <v>0.5</v>
      </c>
      <c r="M31" s="5">
        <v>0.20200000000000001</v>
      </c>
      <c r="N31" s="6">
        <v>0.20799999999999999</v>
      </c>
      <c r="O31" s="1">
        <v>93</v>
      </c>
      <c r="P31" s="6">
        <v>96</v>
      </c>
      <c r="Q31" s="1" t="s">
        <v>31</v>
      </c>
      <c r="R31" s="1">
        <v>1</v>
      </c>
      <c r="S31" s="1" t="s">
        <v>31</v>
      </c>
      <c r="T31" s="6">
        <v>1</v>
      </c>
      <c r="U31" s="1">
        <v>1</v>
      </c>
      <c r="V31" s="1">
        <v>6</v>
      </c>
      <c r="W31" s="9" t="s">
        <v>25</v>
      </c>
    </row>
    <row r="32" spans="1:24" s="1" customFormat="1" x14ac:dyDescent="0.2">
      <c r="A32" s="5" t="s">
        <v>78</v>
      </c>
      <c r="B32" s="1">
        <v>1899</v>
      </c>
      <c r="C32" s="1" t="s">
        <v>22</v>
      </c>
      <c r="D32" s="1">
        <v>28</v>
      </c>
      <c r="E32" s="23">
        <v>30.4</v>
      </c>
      <c r="F32" s="1">
        <v>30.46</v>
      </c>
      <c r="G32" s="23">
        <v>38.6</v>
      </c>
      <c r="H32" s="1">
        <v>39.799999999999997</v>
      </c>
      <c r="I32" s="1">
        <v>31.8</v>
      </c>
      <c r="J32" s="1">
        <v>55.2</v>
      </c>
      <c r="K32" s="23">
        <v>1.6</v>
      </c>
      <c r="L32" s="1">
        <v>0.9</v>
      </c>
      <c r="M32" s="23">
        <v>0.20300000000000001</v>
      </c>
      <c r="N32" s="1">
        <v>0.22700000000000001</v>
      </c>
      <c r="O32" s="23">
        <v>87</v>
      </c>
      <c r="P32" s="1">
        <v>93</v>
      </c>
      <c r="Q32" s="23" t="s">
        <v>38</v>
      </c>
      <c r="R32" s="1">
        <v>1</v>
      </c>
      <c r="S32" s="1" t="s">
        <v>31</v>
      </c>
      <c r="T32" s="1">
        <v>1</v>
      </c>
      <c r="U32" s="23">
        <v>7</v>
      </c>
      <c r="V32" s="1">
        <v>2</v>
      </c>
      <c r="W32" s="23" t="s">
        <v>25</v>
      </c>
      <c r="X32" s="23"/>
    </row>
    <row r="33" spans="1:32" s="1" customFormat="1" x14ac:dyDescent="0.2">
      <c r="A33" s="10"/>
      <c r="B33" s="20"/>
      <c r="C33" s="21"/>
      <c r="D33" s="12" t="s">
        <v>45</v>
      </c>
      <c r="E33" s="24">
        <v>29.513000000000002</v>
      </c>
      <c r="F33" s="25">
        <v>29.524000000000001</v>
      </c>
      <c r="G33" s="26">
        <v>41.2</v>
      </c>
      <c r="H33" s="24">
        <v>41.4</v>
      </c>
      <c r="I33" s="24">
        <v>36.5</v>
      </c>
      <c r="J33" s="25">
        <v>48.3</v>
      </c>
      <c r="K33" s="26">
        <v>1</v>
      </c>
      <c r="L33" s="25">
        <v>1</v>
      </c>
      <c r="M33" s="24">
        <v>0.24299999999999999</v>
      </c>
      <c r="N33" s="24">
        <v>0.24399999999999999</v>
      </c>
      <c r="O33" s="26">
        <v>92.1</v>
      </c>
      <c r="P33" s="25">
        <v>92.3</v>
      </c>
      <c r="Q33" s="26" t="s">
        <v>25</v>
      </c>
      <c r="R33" s="24">
        <v>1</v>
      </c>
      <c r="S33" s="24" t="s">
        <v>25</v>
      </c>
      <c r="T33" s="25">
        <v>1.1000000000000001</v>
      </c>
      <c r="U33" s="26">
        <v>7.6</v>
      </c>
      <c r="V33" s="25">
        <v>6.5</v>
      </c>
      <c r="W33" s="27">
        <v>2.2829999999999999</v>
      </c>
    </row>
    <row r="34" spans="1:32" x14ac:dyDescent="0.2">
      <c r="E34">
        <f>SUM(E5:E32)/28</f>
        <v>29.514285714285716</v>
      </c>
      <c r="F34">
        <f>SUM(F5:F32)/28</f>
        <v>29.525000000000002</v>
      </c>
      <c r="AF34" t="s">
        <v>79</v>
      </c>
    </row>
    <row r="36" spans="1:32" x14ac:dyDescent="0.2">
      <c r="E36" s="22"/>
    </row>
  </sheetData>
  <mergeCells count="8">
    <mergeCell ref="K3:L3"/>
    <mergeCell ref="M3:N3"/>
    <mergeCell ref="O3:P3"/>
    <mergeCell ref="E2:F2"/>
    <mergeCell ref="G2:J2"/>
    <mergeCell ref="K2:P2"/>
    <mergeCell ref="Q2:T2"/>
    <mergeCell ref="U2:V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Preview xmlns="09baef80-0d7a-4cab-b988-bb3d9fc0663b">
      <Url xsi:nil="true"/>
      <Description xsi:nil="true"/>
    </Preview>
    <_ip_UnifiedCompliancePolicyProperties xmlns="http://schemas.microsoft.com/sharepoint/v3" xsi:nil="true"/>
    <_Flow_SignoffStatus xmlns="09baef80-0d7a-4cab-b988-bb3d9fc0663b" xsi:nil="true"/>
    <_dlc_DocId xmlns="502a79df-4f52-4757-ac2f-753e065f4c93">H7Q62YT2XCZT-908671883-38457</_dlc_DocId>
    <_dlc_DocIdUrl xmlns="502a79df-4f52-4757-ac2f-753e065f4c93">
      <Url>https://metoffice.sharepoint.com/sites/metofficelibraryarchiveteam/_layouts/15/DocIdRedir.aspx?ID=H7Q62YT2XCZT-908671883-38457</Url>
      <Description>H7Q62YT2XCZT-908671883-38457</Description>
    </_dlc_DocIdUrl>
    <TaxCatchAll xmlns="95a6d21c-7db0-4b7e-981f-b4f22b02b9d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5F0ACF65EC5C4F8622AE277C35A390" ma:contentTypeVersion="22" ma:contentTypeDescription="Create a new document." ma:contentTypeScope="" ma:versionID="7a4f56144ecba6ff6a413504c0ec2b8c">
  <xsd:schema xmlns:xsd="http://www.w3.org/2001/XMLSchema" xmlns:xs="http://www.w3.org/2001/XMLSchema" xmlns:p="http://schemas.microsoft.com/office/2006/metadata/properties" xmlns:ns1="http://schemas.microsoft.com/sharepoint/v3" xmlns:ns2="09baef80-0d7a-4cab-b988-bb3d9fc0663b" xmlns:ns3="502a79df-4f52-4757-ac2f-753e065f4c93" xmlns:ns4="95a6d21c-7db0-4b7e-981f-b4f22b02b9d8" targetNamespace="http://schemas.microsoft.com/office/2006/metadata/properties" ma:root="true" ma:fieldsID="7dcae21ac380e060fa17aa32c946feec" ns1:_="" ns2:_="" ns3:_="" ns4:_="">
    <xsd:import namespace="http://schemas.microsoft.com/sharepoint/v3"/>
    <xsd:import namespace="09baef80-0d7a-4cab-b988-bb3d9fc0663b"/>
    <xsd:import namespace="502a79df-4f52-4757-ac2f-753e065f4c93"/>
    <xsd:import namespace="95a6d21c-7db0-4b7e-981f-b4f22b02b9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Preview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3:_dlc_DocId" minOccurs="0"/>
                <xsd:element ref="ns3:_dlc_DocIdUrl" minOccurs="0"/>
                <xsd:element ref="ns3:_dlc_DocIdPersistId" minOccurs="0"/>
                <xsd:element ref="ns2:_Flow_SignoffStatus" minOccurs="0"/>
                <xsd:element ref="ns2:MediaServiceLocation" minOccurs="0"/>
                <xsd:element ref="ns4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baef80-0d7a-4cab-b988-bb3d9fc066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Preview" ma:index="16" nillable="true" ma:displayName="Preview" ma:format="Hyperlink" ma:internalName="Preview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Location" ma:index="26" nillable="true" ma:displayName="Location" ma:internalName="MediaServiceLocation" ma:readOnly="true">
      <xsd:simpleType>
        <xsd:restriction base="dms:Text"/>
      </xsd:simpleType>
    </xsd:element>
    <xsd:element name="MediaLengthInSeconds" ma:index="2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2a79df-4f52-4757-ac2f-753e065f4c9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_dlc_DocId" ma:index="22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23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4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a6d21c-7db0-4b7e-981f-b4f22b02b9d8" elementFormDefault="qualified">
    <xsd:import namespace="http://schemas.microsoft.com/office/2006/documentManagement/types"/>
    <xsd:import namespace="http://schemas.microsoft.com/office/infopath/2007/PartnerControls"/>
    <xsd:element name="TaxCatchAll" ma:index="28" nillable="true" ma:displayName="Taxonomy Catch All Column" ma:hidden="true" ma:list="{9ce06610-73e7-4bf6-83a6-0ec85ab8d48c}" ma:internalName="TaxCatchAll" ma:showField="CatchAllData" ma:web="502a79df-4f52-4757-ac2f-753e065f4c9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41D9D46-8EF5-4B5F-B4AD-A4CD0C2BC460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37504570-BFED-402B-9995-BC94451CA335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09baef80-0d7a-4cab-b988-bb3d9fc0663b"/>
    <ds:schemaRef ds:uri="502a79df-4f52-4757-ac2f-753e065f4c93"/>
    <ds:schemaRef ds:uri="95a6d21c-7db0-4b7e-981f-b4f22b02b9d8"/>
  </ds:schemaRefs>
</ds:datastoreItem>
</file>

<file path=customXml/itemProps3.xml><?xml version="1.0" encoding="utf-8"?>
<ds:datastoreItem xmlns:ds="http://schemas.openxmlformats.org/officeDocument/2006/customXml" ds:itemID="{30AEBC69-95D9-4A05-8EB8-8273651D386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9baef80-0d7a-4cab-b988-bb3d9fc0663b"/>
    <ds:schemaRef ds:uri="502a79df-4f52-4757-ac2f-753e065f4c93"/>
    <ds:schemaRef ds:uri="95a6d21c-7db0-4b7e-981f-b4f22b02b9d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9505B43A-A7A6-4906-BA4A-6D6065F35B0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Deerness</vt:lpstr>
      <vt:lpstr>Dunrobin Castle</vt:lpstr>
      <vt:lpstr>Braemar</vt:lpstr>
      <vt:lpstr>Laudale</vt:lpstr>
      <vt:lpstr>Dundee</vt:lpstr>
      <vt:lpstr>Glasgow</vt:lpstr>
      <vt:lpstr>Ladylaw</vt:lpstr>
      <vt:lpstr>Scarborough</vt:lpstr>
      <vt:lpstr>Cronkbourne</vt:lpstr>
      <vt:lpstr>Stonyhurst</vt:lpstr>
      <vt:lpstr>Hillington</vt:lpstr>
      <vt:lpstr>St David's Pembroke</vt:lpstr>
      <vt:lpstr>Churchstoke </vt:lpstr>
      <vt:lpstr>Woolacombe</vt:lpstr>
      <vt:lpstr>Southampton</vt:lpstr>
      <vt:lpstr>Plymouth</vt:lpstr>
      <vt:lpstr>Armagh</vt:lpstr>
      <vt:lpstr>Markree Castle</vt:lpstr>
      <vt:lpstr>Dublin (Phoenix Park)</vt:lpstr>
      <vt:lpstr>Parsonstown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Beswick, Mark</dc:creator>
  <cp:keywords/>
  <dc:description/>
  <cp:lastModifiedBy>Ed Hawkins</cp:lastModifiedBy>
  <cp:revision/>
  <dcterms:created xsi:type="dcterms:W3CDTF">2019-10-31T12:58:11Z</dcterms:created>
  <dcterms:modified xsi:type="dcterms:W3CDTF">2025-11-24T19:07:26Z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0x010100005F0ACF65EC5C4F8622AE277C35A390</vt:lpwstr>
  </property>
  <property fmtid="{D5CDD505-2E9C-101B-9397-08002B2CF9AE}" pid="3" name="_dlc_DocIdItemGuid">
    <vt:lpwstr>fdc63d53-c80d-40d1-8e3e-022f1c47f4eb</vt:lpwstr>
  </property>
</Properties>
</file>